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YU\Downloads\"/>
    </mc:Choice>
  </mc:AlternateContent>
  <xr:revisionPtr revIDLastSave="0" documentId="13_ncr:1_{19F7138F-9271-4A51-BCC3-58EC32D72963}" xr6:coauthVersionLast="47" xr6:coauthVersionMax="47" xr10:uidLastSave="{00000000-0000-0000-0000-000000000000}"/>
  <bookViews>
    <workbookView xWindow="-120" yWindow="-120" windowWidth="20730" windowHeight="11160" firstSheet="1" activeTab="8" xr2:uid="{00000000-000D-0000-FFFF-FFFF00000000}"/>
  </bookViews>
  <sheets>
    <sheet name="LAPORAN KASUS" sheetId="1" r:id="rId1"/>
    <sheet name="maret" sheetId="4" r:id="rId2"/>
    <sheet name="april" sheetId="5" r:id="rId3"/>
    <sheet name="mei" sheetId="6" r:id="rId4"/>
    <sheet name="juni" sheetId="7" r:id="rId5"/>
    <sheet name="juli" sheetId="8" r:id="rId6"/>
    <sheet name="agustus" sheetId="9" r:id="rId7"/>
    <sheet name="Sept" sheetId="11" r:id="rId8"/>
    <sheet name="oktober" sheetId="12" r:id="rId9"/>
    <sheet name="Nopember" sheetId="14" r:id="rId10"/>
    <sheet name="Desermber" sheetId="15" r:id="rId11"/>
    <sheet name="LAPORAN RABIES" sheetId="3" r:id="rId12"/>
  </sheets>
  <calcPr calcId="191029"/>
</workbook>
</file>

<file path=xl/calcChain.xml><?xml version="1.0" encoding="utf-8"?>
<calcChain xmlns="http://schemas.openxmlformats.org/spreadsheetml/2006/main">
  <c r="Q22" i="14" l="1"/>
  <c r="AJ23" i="15"/>
  <c r="AI23" i="15"/>
  <c r="AH23" i="15"/>
  <c r="AG23" i="15"/>
  <c r="AF23" i="15"/>
  <c r="AE23" i="15"/>
  <c r="AD23" i="15"/>
  <c r="AB23" i="15"/>
  <c r="AA23" i="15"/>
  <c r="Z23" i="15"/>
  <c r="Y23" i="15"/>
  <c r="X23" i="15"/>
  <c r="W23" i="15"/>
  <c r="V23" i="15"/>
  <c r="U23" i="15"/>
  <c r="T23" i="15"/>
  <c r="S23" i="15"/>
  <c r="R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Q23" i="15" s="1"/>
  <c r="Q22" i="15"/>
  <c r="Q21" i="15"/>
  <c r="Q19" i="15"/>
  <c r="Q18" i="15"/>
  <c r="Q17" i="15"/>
  <c r="Q16" i="15"/>
  <c r="Q15" i="15"/>
  <c r="Q14" i="15"/>
  <c r="Q13" i="15"/>
  <c r="Q12" i="15"/>
  <c r="Q11" i="15"/>
  <c r="Q10" i="15"/>
  <c r="AJ23" i="14"/>
  <c r="AI23" i="14"/>
  <c r="AH23" i="14"/>
  <c r="AG23" i="14"/>
  <c r="AF23" i="14"/>
  <c r="AE23" i="14"/>
  <c r="AD23" i="14"/>
  <c r="AB23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Q21" i="14"/>
  <c r="Q19" i="14"/>
  <c r="Q18" i="14"/>
  <c r="Q17" i="14"/>
  <c r="Q16" i="14"/>
  <c r="Q15" i="14"/>
  <c r="Q14" i="14"/>
  <c r="Q13" i="14"/>
  <c r="Q12" i="14"/>
  <c r="Q11" i="14"/>
  <c r="Q10" i="14"/>
  <c r="AJ23" i="12"/>
  <c r="AI23" i="12"/>
  <c r="AH23" i="12"/>
  <c r="AG23" i="12"/>
  <c r="AF23" i="12"/>
  <c r="AE23" i="12"/>
  <c r="AD23" i="12"/>
  <c r="AB23" i="12"/>
  <c r="AA23" i="12"/>
  <c r="Z23" i="12"/>
  <c r="Y23" i="12"/>
  <c r="X23" i="12"/>
  <c r="W23" i="12"/>
  <c r="V23" i="12"/>
  <c r="U23" i="12"/>
  <c r="T23" i="12"/>
  <c r="S23" i="12"/>
  <c r="R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Q23" i="12" s="1"/>
  <c r="Q22" i="12"/>
  <c r="Q21" i="12"/>
  <c r="Q19" i="12"/>
  <c r="Q18" i="12"/>
  <c r="Q17" i="12"/>
  <c r="Q16" i="12"/>
  <c r="Q15" i="12"/>
  <c r="Q14" i="12"/>
  <c r="Q13" i="12"/>
  <c r="Q12" i="12"/>
  <c r="Q11" i="12"/>
  <c r="Q10" i="12"/>
  <c r="Q16" i="11"/>
  <c r="AJ23" i="11"/>
  <c r="AI23" i="11"/>
  <c r="AH23" i="11"/>
  <c r="AG23" i="11"/>
  <c r="AF23" i="11"/>
  <c r="AE23" i="11"/>
  <c r="AD23" i="11"/>
  <c r="AB23" i="11"/>
  <c r="AA23" i="11"/>
  <c r="Z23" i="11"/>
  <c r="Y23" i="11"/>
  <c r="X23" i="11"/>
  <c r="W23" i="11"/>
  <c r="V23" i="11"/>
  <c r="U23" i="11"/>
  <c r="T23" i="11"/>
  <c r="S23" i="11"/>
  <c r="R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Q23" i="11" s="1"/>
  <c r="Q22" i="11"/>
  <c r="Q21" i="11"/>
  <c r="Q20" i="11"/>
  <c r="Q19" i="11"/>
  <c r="Q18" i="11"/>
  <c r="Q17" i="11"/>
  <c r="Q15" i="11"/>
  <c r="Q14" i="11"/>
  <c r="Q13" i="11"/>
  <c r="Q12" i="11"/>
  <c r="Q11" i="11"/>
  <c r="Q10" i="11"/>
  <c r="AJ24" i="9"/>
  <c r="AI24" i="9"/>
  <c r="AH24" i="9"/>
  <c r="AG24" i="9"/>
  <c r="AF24" i="9"/>
  <c r="AE24" i="9"/>
  <c r="AD24" i="9"/>
  <c r="AB24" i="9"/>
  <c r="AA24" i="9"/>
  <c r="Z24" i="9"/>
  <c r="Y24" i="9"/>
  <c r="X24" i="9"/>
  <c r="W24" i="9"/>
  <c r="V24" i="9"/>
  <c r="U24" i="9"/>
  <c r="T24" i="9"/>
  <c r="S24" i="9"/>
  <c r="R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Q24" i="9" s="1"/>
  <c r="Q23" i="9"/>
  <c r="Q22" i="9"/>
  <c r="Q21" i="9"/>
  <c r="Q20" i="9"/>
  <c r="Q19" i="9"/>
  <c r="Q18" i="9"/>
  <c r="Q16" i="9"/>
  <c r="Q15" i="9"/>
  <c r="Q14" i="9"/>
  <c r="Q13" i="9"/>
  <c r="Q12" i="9"/>
  <c r="Q11" i="9"/>
  <c r="AJ23" i="8"/>
  <c r="AI23" i="8"/>
  <c r="AH23" i="8"/>
  <c r="AG23" i="8"/>
  <c r="AF23" i="8"/>
  <c r="AE23" i="8"/>
  <c r="AD23" i="8"/>
  <c r="AB23" i="8"/>
  <c r="AA23" i="8"/>
  <c r="Z23" i="8"/>
  <c r="Y23" i="8"/>
  <c r="X23" i="8"/>
  <c r="W23" i="8"/>
  <c r="V23" i="8"/>
  <c r="U23" i="8"/>
  <c r="T23" i="8"/>
  <c r="S23" i="8"/>
  <c r="R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Q23" i="8" s="1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AJ24" i="7"/>
  <c r="AI24" i="7"/>
  <c r="AH24" i="7"/>
  <c r="AG24" i="7"/>
  <c r="AF24" i="7"/>
  <c r="AE24" i="7"/>
  <c r="AD24" i="7"/>
  <c r="AB24" i="7"/>
  <c r="AA24" i="7"/>
  <c r="Z24" i="7"/>
  <c r="Y24" i="7"/>
  <c r="X24" i="7"/>
  <c r="W24" i="7"/>
  <c r="V24" i="7"/>
  <c r="U24" i="7"/>
  <c r="T24" i="7"/>
  <c r="S24" i="7"/>
  <c r="R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Q24" i="7" s="1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AJ23" i="6"/>
  <c r="AI23" i="6"/>
  <c r="AH23" i="6"/>
  <c r="AG23" i="6"/>
  <c r="AF23" i="6"/>
  <c r="AE23" i="6"/>
  <c r="AD23" i="6"/>
  <c r="AB23" i="6"/>
  <c r="AA23" i="6"/>
  <c r="Z23" i="6"/>
  <c r="Y23" i="6"/>
  <c r="X23" i="6"/>
  <c r="W23" i="6"/>
  <c r="V23" i="6"/>
  <c r="U23" i="6"/>
  <c r="T23" i="6"/>
  <c r="S23" i="6"/>
  <c r="R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Q23" i="6" s="1"/>
  <c r="Q22" i="6"/>
  <c r="Q21" i="6"/>
  <c r="Q20" i="6"/>
  <c r="Q19" i="6"/>
  <c r="Q18" i="6"/>
  <c r="Q17" i="6"/>
  <c r="Q15" i="6"/>
  <c r="Q14" i="6"/>
  <c r="Q13" i="6"/>
  <c r="Q12" i="6"/>
  <c r="Q11" i="6"/>
  <c r="Q10" i="6"/>
  <c r="AK24" i="5"/>
  <c r="AJ24" i="5"/>
  <c r="AI24" i="5"/>
  <c r="AH24" i="5"/>
  <c r="AG24" i="5"/>
  <c r="AF24" i="5"/>
  <c r="AE24" i="5"/>
  <c r="AC24" i="5"/>
  <c r="AB24" i="5"/>
  <c r="AA24" i="5"/>
  <c r="Z24" i="5"/>
  <c r="Y24" i="5"/>
  <c r="X24" i="5"/>
  <c r="W24" i="5"/>
  <c r="V24" i="5"/>
  <c r="U24" i="5"/>
  <c r="T24" i="5"/>
  <c r="S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R23" i="5"/>
  <c r="R22" i="5"/>
  <c r="R21" i="5"/>
  <c r="R20" i="5"/>
  <c r="R19" i="5"/>
  <c r="R18" i="5"/>
  <c r="R16" i="5"/>
  <c r="R15" i="5"/>
  <c r="R14" i="5"/>
  <c r="R13" i="5"/>
  <c r="R12" i="5"/>
  <c r="AJ24" i="4"/>
  <c r="AI24" i="4"/>
  <c r="AH24" i="4"/>
  <c r="AG24" i="4"/>
  <c r="AF24" i="4"/>
  <c r="AE24" i="4"/>
  <c r="AD24" i="4"/>
  <c r="AB24" i="4"/>
  <c r="AA24" i="4"/>
  <c r="Z24" i="4"/>
  <c r="Y24" i="4"/>
  <c r="X24" i="4"/>
  <c r="W24" i="4"/>
  <c r="V24" i="4"/>
  <c r="U24" i="4"/>
  <c r="T24" i="4"/>
  <c r="S24" i="4"/>
  <c r="R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Q24" i="4" s="1"/>
  <c r="Q23" i="4"/>
  <c r="Q22" i="4"/>
  <c r="Q21" i="4"/>
  <c r="Q20" i="4"/>
  <c r="Q19" i="4"/>
  <c r="Q18" i="4"/>
  <c r="Q16" i="4"/>
  <c r="Q15" i="4"/>
  <c r="Q14" i="4"/>
  <c r="Q13" i="4"/>
  <c r="Q12" i="4"/>
  <c r="Q11" i="4"/>
  <c r="Q145" i="1"/>
  <c r="Q113" i="1"/>
  <c r="Q112" i="1"/>
  <c r="R56" i="1"/>
  <c r="Q23" i="14" l="1"/>
  <c r="AJ152" i="1"/>
  <c r="AI152" i="1"/>
  <c r="AH152" i="1"/>
  <c r="AG152" i="1"/>
  <c r="AF152" i="1"/>
  <c r="AE152" i="1"/>
  <c r="AD152" i="1"/>
  <c r="AB152" i="1"/>
  <c r="AA152" i="1"/>
  <c r="Z152" i="1"/>
  <c r="Y152" i="1"/>
  <c r="X152" i="1"/>
  <c r="W152" i="1"/>
  <c r="V152" i="1"/>
  <c r="U152" i="1"/>
  <c r="T152" i="1"/>
  <c r="S152" i="1"/>
  <c r="R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Q152" i="1" s="1"/>
  <c r="Q151" i="1"/>
  <c r="Q150" i="1"/>
  <c r="Q149" i="1"/>
  <c r="Q148" i="1"/>
  <c r="Q147" i="1"/>
  <c r="Q146" i="1"/>
  <c r="Q144" i="1"/>
  <c r="Q143" i="1"/>
  <c r="Q142" i="1"/>
  <c r="Q141" i="1"/>
  <c r="Q140" i="1"/>
  <c r="Q139" i="1"/>
  <c r="AJ119" i="1"/>
  <c r="AI119" i="1"/>
  <c r="AH119" i="1"/>
  <c r="AG119" i="1"/>
  <c r="AF119" i="1"/>
  <c r="AE119" i="1"/>
  <c r="AD119" i="1"/>
  <c r="AB119" i="1"/>
  <c r="AA119" i="1"/>
  <c r="Z119" i="1"/>
  <c r="Y119" i="1"/>
  <c r="X119" i="1"/>
  <c r="W119" i="1"/>
  <c r="V119" i="1"/>
  <c r="U119" i="1"/>
  <c r="T119" i="1"/>
  <c r="S119" i="1"/>
  <c r="R119" i="1"/>
  <c r="P119" i="1"/>
  <c r="O119" i="1"/>
  <c r="N119" i="1"/>
  <c r="M119" i="1"/>
  <c r="L119" i="1"/>
  <c r="K119" i="1"/>
  <c r="J119" i="1"/>
  <c r="I119" i="1"/>
  <c r="H119" i="1"/>
  <c r="G119" i="1"/>
  <c r="F119" i="1"/>
  <c r="D119" i="1"/>
  <c r="C119" i="1"/>
  <c r="Q118" i="1"/>
  <c r="Q117" i="1"/>
  <c r="Q116" i="1"/>
  <c r="Q115" i="1"/>
  <c r="Q114" i="1"/>
  <c r="Q111" i="1"/>
  <c r="Q110" i="1"/>
  <c r="Q109" i="1"/>
  <c r="Q108" i="1"/>
  <c r="Q107" i="1"/>
  <c r="Q106" i="1"/>
  <c r="AJ88" i="1"/>
  <c r="AI88" i="1"/>
  <c r="AH88" i="1"/>
  <c r="AG88" i="1"/>
  <c r="AF88" i="1"/>
  <c r="AE88" i="1"/>
  <c r="AD88" i="1"/>
  <c r="AB88" i="1"/>
  <c r="AA88" i="1"/>
  <c r="Z88" i="1"/>
  <c r="Y88" i="1"/>
  <c r="X88" i="1"/>
  <c r="W88" i="1"/>
  <c r="V88" i="1"/>
  <c r="U88" i="1"/>
  <c r="T88" i="1"/>
  <c r="S88" i="1"/>
  <c r="R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Q88" i="1" s="1"/>
  <c r="Q87" i="1"/>
  <c r="Q86" i="1"/>
  <c r="Q85" i="1"/>
  <c r="Q84" i="1"/>
  <c r="Q83" i="1"/>
  <c r="Q82" i="1"/>
  <c r="Q80" i="1"/>
  <c r="Q79" i="1"/>
  <c r="Q78" i="1"/>
  <c r="Q77" i="1"/>
  <c r="Q76" i="1"/>
  <c r="Q75" i="1"/>
  <c r="AK57" i="1"/>
  <c r="AJ57" i="1"/>
  <c r="AI57" i="1"/>
  <c r="AH57" i="1"/>
  <c r="AG57" i="1"/>
  <c r="AF57" i="1"/>
  <c r="AE57" i="1"/>
  <c r="AC57" i="1"/>
  <c r="AB57" i="1"/>
  <c r="AA57" i="1"/>
  <c r="Z57" i="1"/>
  <c r="Y57" i="1"/>
  <c r="X57" i="1"/>
  <c r="W57" i="1"/>
  <c r="V57" i="1"/>
  <c r="U57" i="1"/>
  <c r="T57" i="1"/>
  <c r="S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R55" i="1"/>
  <c r="R54" i="1"/>
  <c r="R53" i="1"/>
  <c r="R52" i="1"/>
  <c r="R51" i="1"/>
  <c r="R49" i="1"/>
  <c r="R48" i="1"/>
  <c r="R47" i="1"/>
  <c r="R46" i="1"/>
  <c r="R45" i="1"/>
  <c r="AE24" i="1"/>
  <c r="AF24" i="1"/>
  <c r="AG24" i="1"/>
  <c r="AH24" i="1"/>
  <c r="AI24" i="1"/>
  <c r="AJ24" i="1"/>
  <c r="AD24" i="1"/>
  <c r="AA24" i="1"/>
  <c r="AB24" i="1"/>
  <c r="S24" i="1"/>
  <c r="T24" i="1"/>
  <c r="U24" i="1"/>
  <c r="V24" i="1"/>
  <c r="W24" i="1"/>
  <c r="X24" i="1"/>
  <c r="Y24" i="1"/>
  <c r="Z24" i="1"/>
  <c r="R24" i="1"/>
  <c r="N24" i="1"/>
  <c r="O24" i="1"/>
  <c r="P24" i="1"/>
  <c r="D24" i="1"/>
  <c r="E24" i="1"/>
  <c r="F24" i="1"/>
  <c r="G24" i="1"/>
  <c r="H24" i="1"/>
  <c r="I24" i="1"/>
  <c r="J24" i="1"/>
  <c r="K24" i="1"/>
  <c r="L24" i="1"/>
  <c r="M24" i="1"/>
  <c r="C24" i="1"/>
  <c r="Q23" i="1"/>
  <c r="Q24" i="1"/>
  <c r="Q20" i="1"/>
  <c r="Q21" i="1"/>
  <c r="Q22" i="1"/>
  <c r="D38" i="3"/>
  <c r="C38" i="3"/>
  <c r="E37" i="3"/>
  <c r="E36" i="3"/>
  <c r="E35" i="3"/>
  <c r="E34" i="3"/>
  <c r="E33" i="3"/>
  <c r="E32" i="3"/>
  <c r="E31" i="3"/>
  <c r="E30" i="3"/>
  <c r="E29" i="3"/>
  <c r="E28" i="3"/>
  <c r="E38" i="3" l="1"/>
  <c r="Q12" i="1" l="1"/>
  <c r="Q13" i="1"/>
  <c r="Q14" i="1"/>
  <c r="Q15" i="1"/>
  <c r="Q16" i="1"/>
  <c r="Q18" i="1"/>
  <c r="Q19" i="1"/>
  <c r="Q11" i="1"/>
  <c r="E119" i="1"/>
  <c r="Q119" i="1" s="1"/>
  <c r="D24" i="5"/>
  <c r="R11" i="5"/>
  <c r="R24" i="5"/>
  <c r="R44" i="1" l="1"/>
  <c r="R57" i="1" s="1"/>
  <c r="D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R9" authorId="0" shapeId="0" xr:uid="{5374CE30-2548-4145-A78C-C14528D3ED8B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<sst xmlns="http://schemas.openxmlformats.org/spreadsheetml/2006/main" count="1096" uniqueCount="134">
  <si>
    <t>LAPORAN HARIAN KASUS GIGITAN HEWAN PENULAR RABIES (GHPR)</t>
  </si>
  <si>
    <t>BULAN</t>
  </si>
  <si>
    <t>TAHUN</t>
  </si>
  <si>
    <t>No</t>
  </si>
  <si>
    <t>JENIS KELAMIN/UMUR</t>
  </si>
  <si>
    <t>JUMLAH KASUS GHPR</t>
  </si>
  <si>
    <t>PENGOBATAN</t>
  </si>
  <si>
    <t>SAR</t>
  </si>
  <si>
    <t>LYSSA/ RABIES POSITIF</t>
  </si>
  <si>
    <t>JENIS HEWAN PENGGIGIT</t>
  </si>
  <si>
    <t>SPESIMEN HEWAN YANG DIPERIKSA</t>
  </si>
  <si>
    <t>SPESIMEN HEWAN POSITIF</t>
  </si>
  <si>
    <t>KET.</t>
  </si>
  <si>
    <t>LAKI-LAKI</t>
  </si>
  <si>
    <t>PEREMPUAN</t>
  </si>
  <si>
    <t>CUCI LUKA</t>
  </si>
  <si>
    <t>VAR 1</t>
  </si>
  <si>
    <t>VAR 2</t>
  </si>
  <si>
    <t>VAR 3</t>
  </si>
  <si>
    <t>ANJING</t>
  </si>
  <si>
    <t>KUCING</t>
  </si>
  <si>
    <t>MONYET</t>
  </si>
  <si>
    <t>LAIN - LAIN</t>
  </si>
  <si>
    <t>&lt; 5</t>
  </si>
  <si>
    <t>5 - 9</t>
  </si>
  <si>
    <t>10 - 14</t>
  </si>
  <si>
    <t>15 - 19</t>
  </si>
  <si>
    <t>20 - 45</t>
  </si>
  <si>
    <t>46 - 64</t>
  </si>
  <si>
    <t>64 &gt;</t>
  </si>
  <si>
    <t>(1 dosis)</t>
  </si>
  <si>
    <t>JUMLAH</t>
  </si>
  <si>
    <t>KATEGORI GIGITAN</t>
  </si>
  <si>
    <t>RISIKO TINGGI</t>
  </si>
  <si>
    <t>TIDAK</t>
  </si>
  <si>
    <t>KATEGORI 1</t>
  </si>
  <si>
    <t>KATEGORI 2</t>
  </si>
  <si>
    <t>KATEGORI 3</t>
  </si>
  <si>
    <t>PROVINSI</t>
  </si>
  <si>
    <t>NTB</t>
  </si>
  <si>
    <t xml:space="preserve">: </t>
  </si>
  <si>
    <t>&gt;12 jam</t>
  </si>
  <si>
    <t>sd 12 jam</t>
  </si>
  <si>
    <t xml:space="preserve">TAHUN </t>
  </si>
  <si>
    <t>2025</t>
  </si>
  <si>
    <t>IDENTITAS KASUS</t>
  </si>
  <si>
    <t>IDENTIFIKASI PENYAKIT</t>
  </si>
  <si>
    <t>KONDISI LUKA</t>
  </si>
  <si>
    <t>HPR PENGGIGIT</t>
  </si>
  <si>
    <t>KONDISI HPR</t>
  </si>
  <si>
    <t>Spesimen hewan yg diperiksa</t>
  </si>
  <si>
    <t>Hasil Pos/Neg</t>
  </si>
  <si>
    <t>RIWAYAT PENGOBATAN</t>
  </si>
  <si>
    <t>TGL/BLN/THN MENINGGAL</t>
  </si>
  <si>
    <t>RIWAYAT KONTAK LAIN</t>
  </si>
  <si>
    <t>KET</t>
  </si>
  <si>
    <t>NIK</t>
  </si>
  <si>
    <t>Nama</t>
  </si>
  <si>
    <t>Alamat</t>
  </si>
  <si>
    <t>Kab/Kota</t>
  </si>
  <si>
    <t>Provinsi</t>
  </si>
  <si>
    <t>Pekerjaan</t>
  </si>
  <si>
    <t>Umur</t>
  </si>
  <si>
    <t>Gender Lk/Pr</t>
  </si>
  <si>
    <t>Tgl Kunjungan ke PKM/RS</t>
  </si>
  <si>
    <t>Tanggal digigit</t>
  </si>
  <si>
    <t>Tanggal Onset</t>
  </si>
  <si>
    <t>Gejala yang timbul</t>
  </si>
  <si>
    <t>Lokasi kejadian gigitan (Alamat)</t>
  </si>
  <si>
    <t>Lokasi gigitan (tubuh)</t>
  </si>
  <si>
    <t>Lecet</t>
  </si>
  <si>
    <t>Luka dalam</t>
  </si>
  <si>
    <t>Luka Lebar</t>
  </si>
  <si>
    <t>Lain-lain</t>
  </si>
  <si>
    <t>Anjing</t>
  </si>
  <si>
    <t>Kucing</t>
  </si>
  <si>
    <t>Kera</t>
  </si>
  <si>
    <t>Lari</t>
  </si>
  <si>
    <t>Di bunuh</t>
  </si>
  <si>
    <t>Di Observasi</t>
  </si>
  <si>
    <t>Di Vaksin</t>
  </si>
  <si>
    <t>Cuci luka</t>
  </si>
  <si>
    <t>Tidak cuci luka</t>
  </si>
  <si>
    <t>Tanggal diberi VAR</t>
  </si>
  <si>
    <t>Tanggal SAR</t>
  </si>
  <si>
    <t>&gt; 12 jam</t>
  </si>
  <si>
    <t>Januari</t>
  </si>
  <si>
    <t>Maluku</t>
  </si>
  <si>
    <t>Bali</t>
  </si>
  <si>
    <t>Sulut</t>
  </si>
  <si>
    <t>NTT</t>
  </si>
  <si>
    <t>Sumut</t>
  </si>
  <si>
    <t>Kalbar</t>
  </si>
  <si>
    <t>Sumbar</t>
  </si>
  <si>
    <t>Aceh</t>
  </si>
  <si>
    <t>Sumsel</t>
  </si>
  <si>
    <t>Torut</t>
  </si>
  <si>
    <t>Maros</t>
  </si>
  <si>
    <t>Luwu Utar</t>
  </si>
  <si>
    <t>Tana Toraja</t>
  </si>
  <si>
    <t>Kasus Verifikasi</t>
  </si>
  <si>
    <t>Kasus</t>
  </si>
  <si>
    <t>Kurang</t>
  </si>
  <si>
    <t>SITUASI KASUS KEMATIAN KARENA RABIES</t>
  </si>
  <si>
    <t>BALI</t>
  </si>
  <si>
    <t>:        MARET</t>
  </si>
  <si>
    <t>PUSKESMAS</t>
  </si>
  <si>
    <t>BANGLI</t>
  </si>
  <si>
    <t>BANGLI UTARA</t>
  </si>
  <si>
    <t>TEMBUUKU II</t>
  </si>
  <si>
    <t>SUSUUT I</t>
  </si>
  <si>
    <t>SUSUUT II</t>
  </si>
  <si>
    <t>KINTAMANI I</t>
  </si>
  <si>
    <t>KINTAMANI II</t>
  </si>
  <si>
    <t>KINTAMNI III</t>
  </si>
  <si>
    <t>KINTAMANI IV</t>
  </si>
  <si>
    <t>KINTAMANI V</t>
  </si>
  <si>
    <t>KINTAMANI VI</t>
  </si>
  <si>
    <t>RSU</t>
  </si>
  <si>
    <t>TEMBUUKU I</t>
  </si>
  <si>
    <t>:             APRIL</t>
  </si>
  <si>
    <t>:        Mei</t>
  </si>
  <si>
    <t>:        JUNI</t>
  </si>
  <si>
    <t>:       JULI</t>
  </si>
  <si>
    <t>\</t>
  </si>
  <si>
    <t xml:space="preserve">                                                                                 LAPORAN HARIAN KASUS GIGITAN HEWAN PENULAR RABIES (GHPR)</t>
  </si>
  <si>
    <t xml:space="preserve">                                                                                                 LAPORAN HARIAN KASUS GIGITAN HEWAN PENULAR RABIES (GHPR)</t>
  </si>
  <si>
    <t>:        AGUSTUS</t>
  </si>
  <si>
    <t xml:space="preserve">m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</si>
  <si>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</si>
  <si>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:        September</t>
  </si>
  <si>
    <t>:        Oktober</t>
  </si>
  <si>
    <t>:        Nopember</t>
  </si>
  <si>
    <t>:        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</si>
</sst>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\: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Wingdings 2"/>
      <charset val="2"/>
    </font>
    <font>
      <sz val="11"/>
      <color theme="0"/>
      <name val="Arial"/>
      <family val="2"/>
    </font>
    <font>
      <sz val="11"/>
      <name val="Arial"/>
      <family val="2"/>
    </font>
    <font>
      <b/>
      <sz val="16"/>
      <color theme="1"/>
      <name val="Century Gothic"/>
      <family val="1"/>
    </font>
    <font>
      <sz val="11"/>
      <color theme="1"/>
      <name val="Century Gothic"/>
      <family val="1"/>
    </font>
    <font>
      <b/>
      <sz val="12"/>
      <color theme="1"/>
      <name val="Century Gothic"/>
      <family val="1"/>
    </font>
    <font>
      <b/>
      <sz val="10"/>
      <color theme="1"/>
      <name val="Century Gothic"/>
      <family val="1"/>
    </font>
    <font>
      <b/>
      <sz val="8"/>
      <color theme="1"/>
      <name val="Century Gothic"/>
      <family val="1"/>
    </font>
    <font>
      <b/>
      <sz val="7"/>
      <color theme="1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5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DF"/>
        <bgColor indexed="64"/>
      </patternFill>
    </fill>
    <fill>
      <patternFill patternType="solid">
        <fgColor rgb="FFFFD000"/>
        <bgColor indexed="64"/>
      </patternFill>
    </fill>
    <fill>
      <patternFill patternType="solid">
        <fgColor rgb="FFFF008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A36B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21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/>
    </xf>
    <xf numFmtId="0" fontId="10" fillId="7" borderId="3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6" fillId="0" borderId="43" xfId="0" quotePrefix="1" applyFont="1" applyBorder="1" applyAlignment="1">
      <alignment horizontal="center" vertical="center"/>
    </xf>
    <xf numFmtId="17" fontId="6" fillId="0" borderId="43" xfId="0" quotePrefix="1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17" fontId="6" fillId="0" borderId="2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39" xfId="0" quotePrefix="1" applyFont="1" applyBorder="1" applyAlignment="1">
      <alignment horizontal="center" vertical="center"/>
    </xf>
    <xf numFmtId="17" fontId="6" fillId="0" borderId="39" xfId="0" quotePrefix="1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16" fontId="18" fillId="2" borderId="1" xfId="0" quotePrefix="1" applyNumberFormat="1" applyFont="1" applyFill="1" applyBorder="1" applyAlignment="1">
      <alignment horizontal="center" vertical="center"/>
    </xf>
    <xf numFmtId="17" fontId="18" fillId="2" borderId="1" xfId="0" quotePrefix="1" applyNumberFormat="1" applyFont="1" applyFill="1" applyBorder="1" applyAlignment="1">
      <alignment horizontal="center" vertical="center"/>
    </xf>
    <xf numFmtId="0" fontId="18" fillId="2" borderId="1" xfId="0" quotePrefix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/>
    <xf numFmtId="0" fontId="21" fillId="4" borderId="1" xfId="0" applyFont="1" applyFill="1" applyBorder="1"/>
    <xf numFmtId="0" fontId="21" fillId="5" borderId="1" xfId="0" applyFont="1" applyFill="1" applyBorder="1"/>
    <xf numFmtId="0" fontId="16" fillId="4" borderId="1" xfId="0" applyFont="1" applyFill="1" applyBorder="1"/>
    <xf numFmtId="0" fontId="16" fillId="5" borderId="1" xfId="0" applyFont="1" applyFill="1" applyBorder="1"/>
    <xf numFmtId="0" fontId="16" fillId="4" borderId="5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16" fontId="22" fillId="2" borderId="1" xfId="0" quotePrefix="1" applyNumberFormat="1" applyFont="1" applyFill="1" applyBorder="1" applyAlignment="1">
      <alignment horizontal="center" vertical="center"/>
    </xf>
    <xf numFmtId="17" fontId="22" fillId="2" borderId="1" xfId="0" quotePrefix="1" applyNumberFormat="1" applyFont="1" applyFill="1" applyBorder="1" applyAlignment="1">
      <alignment horizontal="center" vertical="center"/>
    </xf>
    <xf numFmtId="0" fontId="22" fillId="2" borderId="1" xfId="0" quotePrefix="1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left" vertical="top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 wrapText="1"/>
    </xf>
    <xf numFmtId="0" fontId="7" fillId="6" borderId="30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11" fillId="8" borderId="33" xfId="0" applyFont="1" applyFill="1" applyBorder="1" applyAlignment="1">
      <alignment horizontal="left" vertical="center"/>
    </xf>
    <xf numFmtId="0" fontId="11" fillId="8" borderId="34" xfId="0" applyFont="1" applyFill="1" applyBorder="1" applyAlignment="1">
      <alignment horizontal="left" vertical="center"/>
    </xf>
    <xf numFmtId="0" fontId="11" fillId="8" borderId="35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53"/>
  <sheetViews>
    <sheetView showGridLines="0" zoomScale="84" zoomScaleNormal="84" workbookViewId="0">
      <selection activeCell="C11" sqref="C11"/>
    </sheetView>
  </sheetViews>
  <sheetFormatPr defaultColWidth="9" defaultRowHeight="16.5"/>
  <cols>
    <col min="1" max="1" width="4.7109375" style="72" customWidth="1"/>
    <col min="2" max="2" width="15.85546875" style="72" customWidth="1"/>
    <col min="3" max="3" width="17" style="72" customWidth="1"/>
    <col min="4" max="4" width="6.7109375" style="72" customWidth="1"/>
    <col min="5" max="5" width="7.7109375" style="72" customWidth="1"/>
    <col min="6" max="11" width="5.7109375" style="72" customWidth="1"/>
    <col min="12" max="12" width="6.7109375" style="72" customWidth="1"/>
    <col min="13" max="13" width="5.7109375" style="72" customWidth="1"/>
    <col min="14" max="14" width="7.140625" style="72" customWidth="1"/>
    <col min="15" max="16" width="5.7109375" style="72" customWidth="1"/>
    <col min="17" max="17" width="7.7109375" style="72" customWidth="1"/>
    <col min="18" max="19" width="7" style="72" customWidth="1"/>
    <col min="20" max="22" width="7.140625" style="72" customWidth="1"/>
    <col min="23" max="23" width="9" style="72" customWidth="1"/>
    <col min="24" max="34" width="9" style="72"/>
    <col min="35" max="35" width="9" style="72" customWidth="1"/>
    <col min="36" max="36" width="16.28515625" style="72" customWidth="1"/>
    <col min="37" max="16384" width="9" style="72"/>
  </cols>
  <sheetData>
    <row r="2" spans="1:36" ht="20.25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4" spans="1:36">
      <c r="A4" s="140" t="s">
        <v>38</v>
      </c>
      <c r="B4" s="140"/>
      <c r="C4" s="72" t="s">
        <v>40</v>
      </c>
      <c r="D4" s="72" t="s">
        <v>104</v>
      </c>
    </row>
    <row r="5" spans="1:36">
      <c r="A5" s="140" t="s">
        <v>1</v>
      </c>
      <c r="B5" s="140"/>
      <c r="C5" s="72" t="s">
        <v>105</v>
      </c>
    </row>
    <row r="6" spans="1:36">
      <c r="A6" s="73" t="s">
        <v>2</v>
      </c>
      <c r="B6" s="73"/>
      <c r="D6" s="74">
        <v>2025</v>
      </c>
    </row>
    <row r="7" spans="1:36" ht="14.45" customHeight="1">
      <c r="A7" s="126" t="s">
        <v>3</v>
      </c>
      <c r="B7" s="126" t="s">
        <v>106</v>
      </c>
      <c r="C7" s="136" t="s">
        <v>4</v>
      </c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8"/>
      <c r="Q7" s="142" t="s">
        <v>5</v>
      </c>
      <c r="R7" s="129" t="s">
        <v>32</v>
      </c>
      <c r="S7" s="130"/>
      <c r="T7" s="130"/>
      <c r="U7" s="131"/>
      <c r="V7" s="136" t="s">
        <v>6</v>
      </c>
      <c r="W7" s="137"/>
      <c r="X7" s="137"/>
      <c r="Y7" s="137"/>
      <c r="Z7" s="137"/>
      <c r="AA7" s="138"/>
      <c r="AB7" s="126" t="s">
        <v>7</v>
      </c>
      <c r="AC7" s="141" t="s">
        <v>8</v>
      </c>
      <c r="AD7" s="136" t="s">
        <v>9</v>
      </c>
      <c r="AE7" s="137"/>
      <c r="AF7" s="137"/>
      <c r="AG7" s="138"/>
      <c r="AH7" s="142" t="s">
        <v>10</v>
      </c>
      <c r="AI7" s="142" t="s">
        <v>11</v>
      </c>
      <c r="AJ7" s="145" t="s">
        <v>12</v>
      </c>
    </row>
    <row r="8" spans="1:36">
      <c r="A8" s="127"/>
      <c r="B8" s="127"/>
      <c r="C8" s="136" t="s">
        <v>13</v>
      </c>
      <c r="D8" s="137"/>
      <c r="E8" s="137"/>
      <c r="F8" s="137"/>
      <c r="G8" s="137"/>
      <c r="H8" s="137"/>
      <c r="I8" s="138"/>
      <c r="J8" s="136" t="s">
        <v>14</v>
      </c>
      <c r="K8" s="137"/>
      <c r="L8" s="137"/>
      <c r="M8" s="137"/>
      <c r="N8" s="137"/>
      <c r="O8" s="137"/>
      <c r="P8" s="138"/>
      <c r="Q8" s="144"/>
      <c r="R8" s="132" t="s">
        <v>35</v>
      </c>
      <c r="S8" s="132" t="s">
        <v>36</v>
      </c>
      <c r="T8" s="134" t="s">
        <v>37</v>
      </c>
      <c r="U8" s="135"/>
      <c r="V8" s="146" t="s">
        <v>15</v>
      </c>
      <c r="W8" s="147"/>
      <c r="X8" s="145" t="s">
        <v>16</v>
      </c>
      <c r="Y8" s="145"/>
      <c r="Z8" s="75" t="s">
        <v>17</v>
      </c>
      <c r="AA8" s="75" t="s">
        <v>18</v>
      </c>
      <c r="AB8" s="127"/>
      <c r="AC8" s="141"/>
      <c r="AD8" s="126" t="s">
        <v>19</v>
      </c>
      <c r="AE8" s="126" t="s">
        <v>20</v>
      </c>
      <c r="AF8" s="126" t="s">
        <v>21</v>
      </c>
      <c r="AG8" s="142" t="s">
        <v>22</v>
      </c>
      <c r="AH8" s="144"/>
      <c r="AI8" s="144"/>
      <c r="AJ8" s="145"/>
    </row>
    <row r="9" spans="1:36" s="81" customFormat="1" ht="22.5">
      <c r="A9" s="128"/>
      <c r="B9" s="128"/>
      <c r="C9" s="75" t="s">
        <v>23</v>
      </c>
      <c r="D9" s="76" t="s">
        <v>24</v>
      </c>
      <c r="E9" s="77" t="s">
        <v>25</v>
      </c>
      <c r="F9" s="78" t="s">
        <v>26</v>
      </c>
      <c r="G9" s="78" t="s">
        <v>27</v>
      </c>
      <c r="H9" s="78" t="s">
        <v>28</v>
      </c>
      <c r="I9" s="75" t="s">
        <v>29</v>
      </c>
      <c r="J9" s="75" t="s">
        <v>23</v>
      </c>
      <c r="K9" s="76" t="s">
        <v>24</v>
      </c>
      <c r="L9" s="77" t="s">
        <v>25</v>
      </c>
      <c r="M9" s="78" t="s">
        <v>26</v>
      </c>
      <c r="N9" s="78" t="s">
        <v>27</v>
      </c>
      <c r="O9" s="78" t="s">
        <v>28</v>
      </c>
      <c r="P9" s="75" t="s">
        <v>29</v>
      </c>
      <c r="Q9" s="143"/>
      <c r="R9" s="133"/>
      <c r="S9" s="133"/>
      <c r="T9" s="79" t="s">
        <v>33</v>
      </c>
      <c r="U9" s="79" t="s">
        <v>34</v>
      </c>
      <c r="V9" s="80" t="s">
        <v>42</v>
      </c>
      <c r="W9" s="80" t="s">
        <v>41</v>
      </c>
      <c r="X9" s="75" t="s">
        <v>30</v>
      </c>
      <c r="Y9" s="75" t="s">
        <v>30</v>
      </c>
      <c r="Z9" s="75" t="s">
        <v>30</v>
      </c>
      <c r="AA9" s="75" t="s">
        <v>30</v>
      </c>
      <c r="AB9" s="128"/>
      <c r="AC9" s="141"/>
      <c r="AD9" s="128"/>
      <c r="AE9" s="128"/>
      <c r="AF9" s="128"/>
      <c r="AG9" s="143"/>
      <c r="AH9" s="143"/>
      <c r="AI9" s="143"/>
      <c r="AJ9" s="145"/>
    </row>
    <row r="10" spans="1:36" s="81" customFormat="1" ht="9.9499999999999993" customHeight="1">
      <c r="A10" s="82">
        <v>1</v>
      </c>
      <c r="B10" s="82">
        <v>2</v>
      </c>
      <c r="C10" s="83">
        <v>3</v>
      </c>
      <c r="D10" s="82">
        <v>4</v>
      </c>
      <c r="E10" s="82">
        <v>5</v>
      </c>
      <c r="F10" s="83">
        <v>6</v>
      </c>
      <c r="G10" s="82">
        <v>7</v>
      </c>
      <c r="H10" s="82">
        <v>8</v>
      </c>
      <c r="I10" s="83">
        <v>9</v>
      </c>
      <c r="J10" s="82">
        <v>10</v>
      </c>
      <c r="K10" s="82">
        <v>11</v>
      </c>
      <c r="L10" s="83">
        <v>12</v>
      </c>
      <c r="M10" s="82">
        <v>13</v>
      </c>
      <c r="N10" s="82">
        <v>14</v>
      </c>
      <c r="O10" s="83">
        <v>15</v>
      </c>
      <c r="P10" s="82">
        <v>16</v>
      </c>
      <c r="Q10" s="82">
        <v>17</v>
      </c>
      <c r="R10" s="83">
        <v>18</v>
      </c>
      <c r="S10" s="82">
        <v>19</v>
      </c>
      <c r="T10" s="82">
        <v>20</v>
      </c>
      <c r="U10" s="83">
        <v>21</v>
      </c>
      <c r="V10" s="82">
        <v>22</v>
      </c>
      <c r="W10" s="82">
        <v>23</v>
      </c>
      <c r="X10" s="83">
        <v>24</v>
      </c>
      <c r="Y10" s="82">
        <v>25</v>
      </c>
      <c r="Z10" s="82">
        <v>26</v>
      </c>
      <c r="AA10" s="83">
        <v>27</v>
      </c>
      <c r="AB10" s="82">
        <v>28</v>
      </c>
      <c r="AC10" s="82">
        <v>29</v>
      </c>
      <c r="AD10" s="83">
        <v>30</v>
      </c>
      <c r="AE10" s="82">
        <v>31</v>
      </c>
      <c r="AF10" s="82">
        <v>32</v>
      </c>
      <c r="AG10" s="83">
        <v>33</v>
      </c>
      <c r="AH10" s="82">
        <v>34</v>
      </c>
      <c r="AI10" s="82">
        <v>35</v>
      </c>
      <c r="AJ10" s="82">
        <v>36</v>
      </c>
    </row>
    <row r="11" spans="1:36">
      <c r="A11" s="84">
        <v>1</v>
      </c>
      <c r="B11" s="85" t="s">
        <v>107</v>
      </c>
      <c r="C11" s="86">
        <v>1</v>
      </c>
      <c r="D11" s="86">
        <v>1</v>
      </c>
      <c r="E11" s="86">
        <v>3</v>
      </c>
      <c r="F11" s="86">
        <v>1</v>
      </c>
      <c r="G11" s="86">
        <v>3</v>
      </c>
      <c r="H11" s="86">
        <v>0</v>
      </c>
      <c r="I11" s="86">
        <v>0</v>
      </c>
      <c r="J11" s="86">
        <v>1</v>
      </c>
      <c r="K11" s="86">
        <v>0</v>
      </c>
      <c r="L11" s="86">
        <v>0</v>
      </c>
      <c r="M11" s="86">
        <v>1</v>
      </c>
      <c r="N11" s="86">
        <v>5</v>
      </c>
      <c r="O11" s="86">
        <v>4</v>
      </c>
      <c r="P11" s="86">
        <v>2</v>
      </c>
      <c r="Q11" s="87">
        <f>SUM(C11:P11)</f>
        <v>22</v>
      </c>
      <c r="R11" s="86">
        <v>1</v>
      </c>
      <c r="S11" s="86">
        <v>0</v>
      </c>
      <c r="T11" s="86">
        <v>0</v>
      </c>
      <c r="U11" s="86">
        <v>21</v>
      </c>
      <c r="V11" s="86">
        <v>22</v>
      </c>
      <c r="W11" s="86">
        <v>0</v>
      </c>
      <c r="X11" s="86">
        <v>20</v>
      </c>
      <c r="Y11" s="86">
        <v>20</v>
      </c>
      <c r="Z11" s="86">
        <v>17</v>
      </c>
      <c r="AA11" s="86">
        <v>19</v>
      </c>
      <c r="AB11" s="86">
        <v>0</v>
      </c>
      <c r="AC11" s="88">
        <v>0</v>
      </c>
      <c r="AD11" s="86">
        <v>22</v>
      </c>
      <c r="AE11" s="86">
        <v>0</v>
      </c>
      <c r="AF11" s="86">
        <v>0</v>
      </c>
      <c r="AG11" s="86">
        <v>0</v>
      </c>
      <c r="AH11" s="86">
        <v>1</v>
      </c>
      <c r="AI11" s="86">
        <v>0</v>
      </c>
      <c r="AJ11" s="86">
        <v>0</v>
      </c>
    </row>
    <row r="12" spans="1:36">
      <c r="A12" s="84">
        <v>2</v>
      </c>
      <c r="B12" s="85" t="s">
        <v>108</v>
      </c>
      <c r="C12" s="86">
        <v>0</v>
      </c>
      <c r="D12" s="86">
        <v>1</v>
      </c>
      <c r="E12" s="86">
        <v>3</v>
      </c>
      <c r="F12" s="86">
        <v>0</v>
      </c>
      <c r="G12" s="86">
        <v>0</v>
      </c>
      <c r="H12" s="86">
        <v>0</v>
      </c>
      <c r="I12" s="86">
        <v>4</v>
      </c>
      <c r="J12" s="86">
        <v>0</v>
      </c>
      <c r="K12" s="86">
        <v>2</v>
      </c>
      <c r="L12" s="86">
        <v>0</v>
      </c>
      <c r="M12" s="86">
        <v>1</v>
      </c>
      <c r="N12" s="86">
        <v>2</v>
      </c>
      <c r="O12" s="86">
        <v>3</v>
      </c>
      <c r="P12" s="86">
        <v>4</v>
      </c>
      <c r="Q12" s="87">
        <f t="shared" ref="Q12:Q24" si="0">SUM(C12:P12)</f>
        <v>20</v>
      </c>
      <c r="R12" s="86">
        <v>13</v>
      </c>
      <c r="S12" s="86">
        <v>7</v>
      </c>
      <c r="T12" s="86">
        <v>2</v>
      </c>
      <c r="U12" s="86">
        <v>0</v>
      </c>
      <c r="V12" s="86">
        <v>20</v>
      </c>
      <c r="W12" s="86">
        <v>0</v>
      </c>
      <c r="X12" s="86">
        <v>13</v>
      </c>
      <c r="Y12" s="86">
        <v>13</v>
      </c>
      <c r="Z12" s="86">
        <v>11</v>
      </c>
      <c r="AA12" s="86">
        <v>2</v>
      </c>
      <c r="AB12" s="86">
        <v>0</v>
      </c>
      <c r="AC12" s="88">
        <v>0</v>
      </c>
      <c r="AD12" s="86">
        <v>17</v>
      </c>
      <c r="AE12" s="86">
        <v>3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</row>
    <row r="13" spans="1:36">
      <c r="A13" s="84">
        <v>3</v>
      </c>
      <c r="B13" s="85" t="s">
        <v>119</v>
      </c>
      <c r="C13" s="86">
        <v>1</v>
      </c>
      <c r="D13" s="86">
        <v>6</v>
      </c>
      <c r="E13" s="86">
        <v>0</v>
      </c>
      <c r="F13" s="86">
        <v>1</v>
      </c>
      <c r="G13" s="86">
        <v>2</v>
      </c>
      <c r="H13" s="86">
        <v>2</v>
      </c>
      <c r="I13" s="86">
        <v>1</v>
      </c>
      <c r="J13" s="86">
        <v>0</v>
      </c>
      <c r="K13" s="86">
        <v>2</v>
      </c>
      <c r="L13" s="86">
        <v>1</v>
      </c>
      <c r="M13" s="86">
        <v>1</v>
      </c>
      <c r="N13" s="86">
        <v>3</v>
      </c>
      <c r="O13" s="86">
        <v>0</v>
      </c>
      <c r="P13" s="86">
        <v>0</v>
      </c>
      <c r="Q13" s="87">
        <f t="shared" si="0"/>
        <v>20</v>
      </c>
      <c r="R13" s="86">
        <v>0</v>
      </c>
      <c r="S13" s="86">
        <v>0</v>
      </c>
      <c r="T13" s="86">
        <v>0</v>
      </c>
      <c r="U13" s="86">
        <v>20</v>
      </c>
      <c r="V13" s="86">
        <v>20</v>
      </c>
      <c r="W13" s="86">
        <v>0</v>
      </c>
      <c r="X13" s="86">
        <v>12</v>
      </c>
      <c r="Y13" s="86">
        <v>12</v>
      </c>
      <c r="Z13" s="86">
        <v>11</v>
      </c>
      <c r="AA13" s="86">
        <v>6</v>
      </c>
      <c r="AB13" s="86">
        <v>0</v>
      </c>
      <c r="AC13" s="88">
        <v>0</v>
      </c>
      <c r="AD13" s="86">
        <v>20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6">
        <v>0</v>
      </c>
    </row>
    <row r="14" spans="1:36">
      <c r="A14" s="84">
        <v>4</v>
      </c>
      <c r="B14" s="85" t="s">
        <v>109</v>
      </c>
      <c r="C14" s="86">
        <v>1</v>
      </c>
      <c r="D14" s="86">
        <v>3</v>
      </c>
      <c r="E14" s="86">
        <v>1</v>
      </c>
      <c r="F14" s="86">
        <v>2</v>
      </c>
      <c r="G14" s="86">
        <v>3</v>
      </c>
      <c r="H14" s="86">
        <v>4</v>
      </c>
      <c r="I14" s="86">
        <v>2</v>
      </c>
      <c r="J14" s="86">
        <v>2</v>
      </c>
      <c r="K14" s="86">
        <v>2</v>
      </c>
      <c r="L14" s="86">
        <v>3</v>
      </c>
      <c r="M14" s="86">
        <v>3</v>
      </c>
      <c r="N14" s="86">
        <v>5</v>
      </c>
      <c r="O14" s="86">
        <v>7</v>
      </c>
      <c r="P14" s="86">
        <v>1</v>
      </c>
      <c r="Q14" s="87">
        <f t="shared" si="0"/>
        <v>39</v>
      </c>
      <c r="R14" s="86">
        <v>0</v>
      </c>
      <c r="S14" s="86">
        <v>0</v>
      </c>
      <c r="T14" s="86">
        <v>3</v>
      </c>
      <c r="U14" s="86">
        <v>36</v>
      </c>
      <c r="V14" s="86">
        <v>39</v>
      </c>
      <c r="W14" s="86">
        <v>0</v>
      </c>
      <c r="X14" s="86">
        <v>19</v>
      </c>
      <c r="Y14" s="86">
        <v>19</v>
      </c>
      <c r="Z14" s="86">
        <v>7</v>
      </c>
      <c r="AA14" s="86">
        <v>10</v>
      </c>
      <c r="AB14" s="86">
        <v>0</v>
      </c>
      <c r="AC14" s="88">
        <v>0</v>
      </c>
      <c r="AD14" s="86">
        <v>37</v>
      </c>
      <c r="AE14" s="86">
        <v>2</v>
      </c>
      <c r="AF14" s="86">
        <v>0</v>
      </c>
      <c r="AG14" s="86">
        <v>0</v>
      </c>
      <c r="AH14" s="86">
        <v>4</v>
      </c>
      <c r="AI14" s="86">
        <v>1</v>
      </c>
      <c r="AJ14" s="86">
        <v>0</v>
      </c>
    </row>
    <row r="15" spans="1:36">
      <c r="A15" s="84">
        <v>5</v>
      </c>
      <c r="B15" s="85" t="s">
        <v>110</v>
      </c>
      <c r="C15" s="86">
        <v>2</v>
      </c>
      <c r="D15" s="86">
        <v>5</v>
      </c>
      <c r="E15" s="86">
        <v>3</v>
      </c>
      <c r="F15" s="86">
        <v>0</v>
      </c>
      <c r="G15" s="86">
        <v>8</v>
      </c>
      <c r="H15" s="86">
        <v>6</v>
      </c>
      <c r="I15" s="86">
        <v>0</v>
      </c>
      <c r="J15" s="86">
        <v>2</v>
      </c>
      <c r="K15" s="86">
        <v>3</v>
      </c>
      <c r="L15" s="86">
        <v>0</v>
      </c>
      <c r="M15" s="86">
        <v>2</v>
      </c>
      <c r="N15" s="86">
        <v>6</v>
      </c>
      <c r="O15" s="86">
        <v>9</v>
      </c>
      <c r="P15" s="86">
        <v>2</v>
      </c>
      <c r="Q15" s="87">
        <f t="shared" si="0"/>
        <v>48</v>
      </c>
      <c r="R15" s="86">
        <v>4</v>
      </c>
      <c r="S15" s="86">
        <v>35</v>
      </c>
      <c r="T15" s="86">
        <v>0</v>
      </c>
      <c r="U15" s="86">
        <v>9</v>
      </c>
      <c r="V15" s="86">
        <v>48</v>
      </c>
      <c r="W15" s="86">
        <v>0</v>
      </c>
      <c r="X15" s="86">
        <v>41</v>
      </c>
      <c r="Y15" s="86">
        <v>41</v>
      </c>
      <c r="Z15" s="86">
        <v>41</v>
      </c>
      <c r="AA15" s="86">
        <v>4</v>
      </c>
      <c r="AB15" s="86">
        <v>0</v>
      </c>
      <c r="AC15" s="88">
        <v>0</v>
      </c>
      <c r="AD15" s="86">
        <v>48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>
      <c r="A16" s="84">
        <v>6</v>
      </c>
      <c r="B16" s="85" t="s">
        <v>111</v>
      </c>
      <c r="C16" s="86">
        <v>0</v>
      </c>
      <c r="D16" s="86">
        <v>2</v>
      </c>
      <c r="E16" s="86">
        <v>0</v>
      </c>
      <c r="F16" s="86">
        <v>0</v>
      </c>
      <c r="G16" s="86">
        <v>1</v>
      </c>
      <c r="H16" s="86">
        <v>1</v>
      </c>
      <c r="I16" s="86">
        <v>3</v>
      </c>
      <c r="J16" s="86">
        <v>1</v>
      </c>
      <c r="K16" s="86">
        <v>0</v>
      </c>
      <c r="L16" s="86">
        <v>0</v>
      </c>
      <c r="M16" s="86">
        <v>1</v>
      </c>
      <c r="N16" s="86">
        <v>2</v>
      </c>
      <c r="O16" s="86">
        <v>6</v>
      </c>
      <c r="P16" s="86">
        <v>0</v>
      </c>
      <c r="Q16" s="87">
        <f t="shared" si="0"/>
        <v>17</v>
      </c>
      <c r="R16" s="86">
        <v>3</v>
      </c>
      <c r="S16" s="86">
        <v>14</v>
      </c>
      <c r="T16" s="86">
        <v>0</v>
      </c>
      <c r="U16" s="86">
        <v>0</v>
      </c>
      <c r="V16" s="86">
        <v>17</v>
      </c>
      <c r="W16" s="86">
        <v>0</v>
      </c>
      <c r="X16" s="86">
        <v>10</v>
      </c>
      <c r="Y16" s="86">
        <v>10</v>
      </c>
      <c r="Z16" s="86">
        <v>8</v>
      </c>
      <c r="AA16" s="86">
        <v>1</v>
      </c>
      <c r="AB16" s="86">
        <v>0</v>
      </c>
      <c r="AC16" s="88">
        <v>0</v>
      </c>
      <c r="AD16" s="86">
        <v>16</v>
      </c>
      <c r="AE16" s="86">
        <v>1</v>
      </c>
      <c r="AF16" s="86">
        <v>0</v>
      </c>
      <c r="AG16" s="86">
        <v>0</v>
      </c>
      <c r="AH16" s="86">
        <v>0</v>
      </c>
      <c r="AI16" s="86">
        <v>0</v>
      </c>
      <c r="AJ16" s="86">
        <v>0</v>
      </c>
    </row>
    <row r="17" spans="1:36">
      <c r="A17" s="84">
        <v>7</v>
      </c>
      <c r="B17" s="85" t="s">
        <v>112</v>
      </c>
      <c r="C17" s="86">
        <v>5</v>
      </c>
      <c r="D17" s="86">
        <v>2</v>
      </c>
      <c r="E17" s="86">
        <v>7</v>
      </c>
      <c r="F17" s="86">
        <v>3</v>
      </c>
      <c r="G17" s="86">
        <v>9</v>
      </c>
      <c r="H17" s="86">
        <v>2</v>
      </c>
      <c r="I17" s="86">
        <v>6</v>
      </c>
      <c r="J17" s="86">
        <v>2</v>
      </c>
      <c r="K17" s="86">
        <v>7</v>
      </c>
      <c r="L17" s="86">
        <v>12</v>
      </c>
      <c r="M17" s="86">
        <v>12</v>
      </c>
      <c r="N17" s="86">
        <v>12</v>
      </c>
      <c r="O17" s="86">
        <v>10</v>
      </c>
      <c r="P17" s="86">
        <v>11</v>
      </c>
      <c r="Q17" s="87">
        <v>100</v>
      </c>
      <c r="R17" s="86">
        <v>4</v>
      </c>
      <c r="S17" s="86">
        <v>3</v>
      </c>
      <c r="T17" s="86">
        <v>10</v>
      </c>
      <c r="U17" s="86">
        <v>87</v>
      </c>
      <c r="V17" s="86">
        <v>100</v>
      </c>
      <c r="W17" s="86">
        <v>0</v>
      </c>
      <c r="X17" s="86">
        <v>35</v>
      </c>
      <c r="Y17" s="86">
        <v>35</v>
      </c>
      <c r="Z17" s="86">
        <v>24</v>
      </c>
      <c r="AA17" s="86">
        <v>40</v>
      </c>
      <c r="AB17" s="86">
        <v>0</v>
      </c>
      <c r="AC17" s="88">
        <v>0</v>
      </c>
      <c r="AD17" s="86">
        <v>100</v>
      </c>
      <c r="AE17" s="86">
        <v>0</v>
      </c>
      <c r="AF17" s="86">
        <v>0</v>
      </c>
      <c r="AG17" s="86">
        <v>0</v>
      </c>
      <c r="AH17" s="86">
        <v>5</v>
      </c>
      <c r="AI17" s="86">
        <v>2</v>
      </c>
      <c r="AJ17" s="86">
        <v>0</v>
      </c>
    </row>
    <row r="18" spans="1:36">
      <c r="A18" s="84">
        <v>8</v>
      </c>
      <c r="B18" s="85" t="s">
        <v>113</v>
      </c>
      <c r="C18" s="86">
        <v>1</v>
      </c>
      <c r="D18" s="86">
        <v>1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86">
        <v>0</v>
      </c>
      <c r="L18" s="86">
        <v>0</v>
      </c>
      <c r="M18" s="86">
        <v>0</v>
      </c>
      <c r="N18" s="86">
        <v>2</v>
      </c>
      <c r="O18" s="86">
        <v>2</v>
      </c>
      <c r="P18" s="86">
        <v>0</v>
      </c>
      <c r="Q18" s="87">
        <f t="shared" si="0"/>
        <v>6</v>
      </c>
      <c r="R18" s="86">
        <v>0</v>
      </c>
      <c r="S18" s="86">
        <v>4</v>
      </c>
      <c r="T18" s="86">
        <v>2</v>
      </c>
      <c r="U18" s="86">
        <v>0</v>
      </c>
      <c r="V18" s="86">
        <v>6</v>
      </c>
      <c r="W18" s="86">
        <v>0</v>
      </c>
      <c r="X18" s="86">
        <v>6</v>
      </c>
      <c r="Y18" s="86">
        <v>6</v>
      </c>
      <c r="Z18" s="86">
        <v>2</v>
      </c>
      <c r="AA18" s="86">
        <v>2</v>
      </c>
      <c r="AB18" s="86">
        <v>0</v>
      </c>
      <c r="AC18" s="88">
        <v>0</v>
      </c>
      <c r="AD18" s="86">
        <v>6</v>
      </c>
      <c r="AE18" s="86">
        <v>0</v>
      </c>
      <c r="AF18" s="86">
        <v>0</v>
      </c>
      <c r="AG18" s="86">
        <v>0</v>
      </c>
      <c r="AH18" s="86">
        <v>1</v>
      </c>
      <c r="AI18" s="86">
        <v>1</v>
      </c>
      <c r="AJ18" s="86">
        <v>0</v>
      </c>
    </row>
    <row r="19" spans="1:36">
      <c r="A19" s="84">
        <v>9</v>
      </c>
      <c r="B19" s="85" t="s">
        <v>114</v>
      </c>
      <c r="C19" s="86">
        <v>1</v>
      </c>
      <c r="D19" s="86">
        <v>3</v>
      </c>
      <c r="E19" s="86">
        <v>3</v>
      </c>
      <c r="F19" s="86">
        <v>1</v>
      </c>
      <c r="G19" s="86">
        <v>7</v>
      </c>
      <c r="H19" s="86">
        <v>3</v>
      </c>
      <c r="I19" s="86">
        <v>3</v>
      </c>
      <c r="J19" s="86">
        <v>0</v>
      </c>
      <c r="K19" s="86">
        <v>2</v>
      </c>
      <c r="L19" s="86">
        <v>0</v>
      </c>
      <c r="M19" s="86">
        <v>0</v>
      </c>
      <c r="N19" s="86">
        <v>3</v>
      </c>
      <c r="O19" s="86">
        <v>1</v>
      </c>
      <c r="P19" s="86">
        <v>2</v>
      </c>
      <c r="Q19" s="87">
        <f t="shared" si="0"/>
        <v>29</v>
      </c>
      <c r="R19" s="86">
        <v>0</v>
      </c>
      <c r="S19" s="86">
        <v>0</v>
      </c>
      <c r="T19" s="86">
        <v>1</v>
      </c>
      <c r="U19" s="86">
        <v>29</v>
      </c>
      <c r="V19" s="86">
        <v>29</v>
      </c>
      <c r="W19" s="86">
        <v>0</v>
      </c>
      <c r="X19" s="86">
        <v>7</v>
      </c>
      <c r="Y19" s="86">
        <v>7</v>
      </c>
      <c r="Z19" s="86">
        <v>6</v>
      </c>
      <c r="AA19" s="86">
        <v>8</v>
      </c>
      <c r="AB19" s="86">
        <v>0</v>
      </c>
      <c r="AC19" s="88">
        <v>0</v>
      </c>
      <c r="AD19" s="86">
        <v>28</v>
      </c>
      <c r="AE19" s="86">
        <v>1</v>
      </c>
      <c r="AF19" s="86">
        <v>0</v>
      </c>
      <c r="AG19" s="86">
        <v>0</v>
      </c>
      <c r="AH19" s="86">
        <v>0</v>
      </c>
      <c r="AI19" s="86">
        <v>1</v>
      </c>
      <c r="AJ19" s="86">
        <v>0</v>
      </c>
    </row>
    <row r="20" spans="1:36">
      <c r="A20" s="84">
        <v>10</v>
      </c>
      <c r="B20" s="85" t="s">
        <v>115</v>
      </c>
      <c r="C20" s="86">
        <v>0</v>
      </c>
      <c r="D20" s="86">
        <v>0</v>
      </c>
      <c r="E20" s="86">
        <v>0</v>
      </c>
      <c r="F20" s="86">
        <v>0</v>
      </c>
      <c r="G20" s="86">
        <v>0</v>
      </c>
      <c r="H20" s="86">
        <v>1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6">
        <v>0</v>
      </c>
      <c r="P20" s="86">
        <v>0</v>
      </c>
      <c r="Q20" s="87">
        <f t="shared" si="0"/>
        <v>1</v>
      </c>
      <c r="R20" s="86">
        <v>1</v>
      </c>
      <c r="S20" s="86">
        <v>0</v>
      </c>
      <c r="T20" s="86">
        <v>0</v>
      </c>
      <c r="U20" s="86">
        <v>0</v>
      </c>
      <c r="V20" s="86">
        <v>1</v>
      </c>
      <c r="W20" s="86">
        <v>0</v>
      </c>
      <c r="X20" s="86">
        <v>1</v>
      </c>
      <c r="Y20" s="86">
        <v>1</v>
      </c>
      <c r="Z20" s="86">
        <v>0</v>
      </c>
      <c r="AA20" s="86">
        <v>0</v>
      </c>
      <c r="AB20" s="86">
        <v>0</v>
      </c>
      <c r="AC20" s="88">
        <v>0</v>
      </c>
      <c r="AD20" s="86">
        <v>1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>
      <c r="A21" s="84">
        <v>11</v>
      </c>
      <c r="B21" s="85" t="s">
        <v>116</v>
      </c>
      <c r="C21" s="86">
        <v>0</v>
      </c>
      <c r="D21" s="86">
        <v>3</v>
      </c>
      <c r="E21" s="86">
        <v>0</v>
      </c>
      <c r="F21" s="86">
        <v>0</v>
      </c>
      <c r="G21" s="86">
        <v>4</v>
      </c>
      <c r="H21" s="86">
        <v>1</v>
      </c>
      <c r="I21" s="86">
        <v>1</v>
      </c>
      <c r="J21" s="86">
        <v>0</v>
      </c>
      <c r="K21" s="86">
        <v>0</v>
      </c>
      <c r="L21" s="86">
        <v>0</v>
      </c>
      <c r="M21" s="86">
        <v>0</v>
      </c>
      <c r="N21" s="86">
        <v>1</v>
      </c>
      <c r="O21" s="86">
        <v>1</v>
      </c>
      <c r="P21" s="86">
        <v>0</v>
      </c>
      <c r="Q21" s="87">
        <f t="shared" si="0"/>
        <v>11</v>
      </c>
      <c r="R21" s="86">
        <v>11</v>
      </c>
      <c r="S21" s="86">
        <v>0</v>
      </c>
      <c r="T21" s="86">
        <v>0</v>
      </c>
      <c r="U21" s="86">
        <v>11</v>
      </c>
      <c r="V21" s="86">
        <v>11</v>
      </c>
      <c r="W21" s="86">
        <v>0</v>
      </c>
      <c r="X21" s="86">
        <v>6</v>
      </c>
      <c r="Y21" s="86">
        <v>6</v>
      </c>
      <c r="Z21" s="86">
        <v>5</v>
      </c>
      <c r="AA21" s="86">
        <v>3</v>
      </c>
      <c r="AB21" s="86">
        <v>0</v>
      </c>
      <c r="AC21" s="88">
        <v>0</v>
      </c>
      <c r="AD21" s="86">
        <v>9</v>
      </c>
      <c r="AE21" s="86">
        <v>2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>
      <c r="A22" s="84">
        <v>12</v>
      </c>
      <c r="B22" s="85" t="s">
        <v>117</v>
      </c>
      <c r="C22" s="86">
        <v>2</v>
      </c>
      <c r="D22" s="86">
        <v>0</v>
      </c>
      <c r="E22" s="86">
        <v>0</v>
      </c>
      <c r="F22" s="86">
        <v>0</v>
      </c>
      <c r="G22" s="86">
        <v>1</v>
      </c>
      <c r="H22" s="86">
        <v>0</v>
      </c>
      <c r="I22" s="86">
        <v>0</v>
      </c>
      <c r="J22" s="86">
        <v>2</v>
      </c>
      <c r="K22" s="86">
        <v>0</v>
      </c>
      <c r="L22" s="86">
        <v>0</v>
      </c>
      <c r="M22" s="86">
        <v>1</v>
      </c>
      <c r="N22" s="86">
        <v>1</v>
      </c>
      <c r="O22" s="86">
        <v>0</v>
      </c>
      <c r="P22" s="86">
        <v>0</v>
      </c>
      <c r="Q22" s="87">
        <f t="shared" si="0"/>
        <v>7</v>
      </c>
      <c r="R22" s="86">
        <v>0</v>
      </c>
      <c r="S22" s="86">
        <v>0</v>
      </c>
      <c r="T22" s="86">
        <v>3</v>
      </c>
      <c r="U22" s="86">
        <v>4</v>
      </c>
      <c r="V22" s="86">
        <v>7</v>
      </c>
      <c r="W22" s="86">
        <v>0</v>
      </c>
      <c r="X22" s="86">
        <v>5</v>
      </c>
      <c r="Y22" s="86">
        <v>5</v>
      </c>
      <c r="Z22" s="86">
        <v>4</v>
      </c>
      <c r="AA22" s="86">
        <v>4</v>
      </c>
      <c r="AB22" s="86">
        <v>0</v>
      </c>
      <c r="AC22" s="88">
        <v>0</v>
      </c>
      <c r="AD22" s="86">
        <v>7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6">
        <v>0</v>
      </c>
    </row>
    <row r="23" spans="1:36">
      <c r="A23" s="84">
        <v>13</v>
      </c>
      <c r="B23" s="85" t="s">
        <v>118</v>
      </c>
      <c r="C23" s="86">
        <v>0</v>
      </c>
      <c r="D23" s="86">
        <v>0</v>
      </c>
      <c r="E23" s="86">
        <v>0</v>
      </c>
      <c r="F23" s="86">
        <v>0</v>
      </c>
      <c r="G23" s="86">
        <v>1</v>
      </c>
      <c r="H23" s="86">
        <v>0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6">
        <v>1</v>
      </c>
      <c r="P23" s="86">
        <v>0</v>
      </c>
      <c r="Q23" s="87">
        <f t="shared" si="0"/>
        <v>2</v>
      </c>
      <c r="R23" s="86">
        <v>0</v>
      </c>
      <c r="S23" s="86">
        <v>0</v>
      </c>
      <c r="T23" s="86">
        <v>2</v>
      </c>
      <c r="U23" s="86">
        <v>0</v>
      </c>
      <c r="V23" s="86">
        <v>2</v>
      </c>
      <c r="W23" s="86">
        <v>0</v>
      </c>
      <c r="X23" s="86">
        <v>0</v>
      </c>
      <c r="Y23" s="86">
        <v>0</v>
      </c>
      <c r="Z23" s="86">
        <v>0</v>
      </c>
      <c r="AA23" s="86">
        <v>0</v>
      </c>
      <c r="AB23" s="86">
        <v>2</v>
      </c>
      <c r="AC23" s="88">
        <v>0</v>
      </c>
      <c r="AD23" s="86">
        <v>2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6">
        <v>0</v>
      </c>
    </row>
    <row r="24" spans="1:36" ht="18.95" customHeight="1">
      <c r="A24" s="124" t="s">
        <v>31</v>
      </c>
      <c r="B24" s="125"/>
      <c r="C24" s="89">
        <f>SUM(C11:C23)</f>
        <v>14</v>
      </c>
      <c r="D24" s="89">
        <f t="shared" ref="D24:M24" si="1">SUM(D11:D23)</f>
        <v>27</v>
      </c>
      <c r="E24" s="89">
        <f t="shared" si="1"/>
        <v>20</v>
      </c>
      <c r="F24" s="89">
        <f t="shared" si="1"/>
        <v>8</v>
      </c>
      <c r="G24" s="89">
        <f t="shared" si="1"/>
        <v>39</v>
      </c>
      <c r="H24" s="89">
        <f t="shared" si="1"/>
        <v>20</v>
      </c>
      <c r="I24" s="89">
        <f t="shared" si="1"/>
        <v>20</v>
      </c>
      <c r="J24" s="89">
        <f t="shared" si="1"/>
        <v>10</v>
      </c>
      <c r="K24" s="89">
        <f t="shared" si="1"/>
        <v>18</v>
      </c>
      <c r="L24" s="89">
        <f t="shared" si="1"/>
        <v>16</v>
      </c>
      <c r="M24" s="89">
        <f t="shared" si="1"/>
        <v>22</v>
      </c>
      <c r="N24" s="89">
        <f>SUM(N11:N23)</f>
        <v>42</v>
      </c>
      <c r="O24" s="89">
        <f t="shared" ref="O24" si="2">SUM(O11:O23)</f>
        <v>44</v>
      </c>
      <c r="P24" s="89">
        <f t="shared" ref="P24:R24" si="3">SUM(P11:P23)</f>
        <v>22</v>
      </c>
      <c r="Q24" s="87">
        <f t="shared" si="0"/>
        <v>322</v>
      </c>
      <c r="R24" s="89">
        <f t="shared" si="3"/>
        <v>37</v>
      </c>
      <c r="S24" s="89">
        <f t="shared" ref="S24" si="4">SUM(S11:S23)</f>
        <v>63</v>
      </c>
      <c r="T24" s="89">
        <f t="shared" ref="T24" si="5">SUM(T11:T23)</f>
        <v>23</v>
      </c>
      <c r="U24" s="89">
        <f t="shared" ref="U24" si="6">SUM(U11:U23)</f>
        <v>217</v>
      </c>
      <c r="V24" s="89">
        <f t="shared" ref="V24" si="7">SUM(V11:V23)</f>
        <v>322</v>
      </c>
      <c r="W24" s="89">
        <f t="shared" ref="W24" si="8">SUM(W11:W23)</f>
        <v>0</v>
      </c>
      <c r="X24" s="89">
        <f t="shared" ref="X24" si="9">SUM(X11:X23)</f>
        <v>175</v>
      </c>
      <c r="Y24" s="89">
        <f t="shared" ref="Y24" si="10">SUM(Y11:Y23)</f>
        <v>175</v>
      </c>
      <c r="Z24" s="89">
        <f t="shared" ref="Z24" si="11">SUM(Z11:Z23)</f>
        <v>136</v>
      </c>
      <c r="AA24" s="89">
        <f t="shared" ref="AA24" si="12">SUM(AA11:AA23)</f>
        <v>99</v>
      </c>
      <c r="AB24" s="89">
        <f t="shared" ref="AB24:AD24" si="13">SUM(AB11:AB23)</f>
        <v>2</v>
      </c>
      <c r="AC24" s="90">
        <v>0</v>
      </c>
      <c r="AD24" s="89">
        <f t="shared" si="13"/>
        <v>313</v>
      </c>
      <c r="AE24" s="89">
        <f t="shared" ref="AE24" si="14">SUM(AE11:AE23)</f>
        <v>9</v>
      </c>
      <c r="AF24" s="89">
        <f t="shared" ref="AF24" si="15">SUM(AF11:AF23)</f>
        <v>0</v>
      </c>
      <c r="AG24" s="89">
        <f t="shared" ref="AG24" si="16">SUM(AG11:AG23)</f>
        <v>0</v>
      </c>
      <c r="AH24" s="89">
        <f t="shared" ref="AH24" si="17">SUM(AH11:AH23)</f>
        <v>11</v>
      </c>
      <c r="AI24" s="89">
        <f t="shared" ref="AI24" si="18">SUM(AI11:AI23)</f>
        <v>5</v>
      </c>
      <c r="AJ24" s="89">
        <f t="shared" ref="AJ24" si="19">SUM(AJ11:AJ23)</f>
        <v>0</v>
      </c>
    </row>
    <row r="35" spans="2:37" s="81" customFormat="1" ht="20.25">
      <c r="B35" s="113" t="s">
        <v>125</v>
      </c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</row>
    <row r="37" spans="2:37">
      <c r="B37" s="73" t="s">
        <v>38</v>
      </c>
      <c r="C37" s="73"/>
      <c r="D37" s="72" t="s">
        <v>40</v>
      </c>
      <c r="E37" s="72" t="s">
        <v>104</v>
      </c>
    </row>
    <row r="38" spans="2:37">
      <c r="B38" s="73" t="s">
        <v>1</v>
      </c>
      <c r="C38" s="73"/>
      <c r="D38" s="72" t="s">
        <v>120</v>
      </c>
    </row>
    <row r="39" spans="2:37">
      <c r="B39" s="73" t="s">
        <v>2</v>
      </c>
      <c r="C39" s="73"/>
      <c r="E39" s="74">
        <v>2025</v>
      </c>
    </row>
    <row r="40" spans="2:37" ht="16.5" customHeight="1">
      <c r="B40" s="93" t="s">
        <v>3</v>
      </c>
      <c r="C40" s="93" t="s">
        <v>106</v>
      </c>
      <c r="D40" s="103" t="s">
        <v>4</v>
      </c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5"/>
      <c r="R40" s="108" t="s">
        <v>5</v>
      </c>
      <c r="S40" s="96" t="s">
        <v>32</v>
      </c>
      <c r="T40" s="97"/>
      <c r="U40" s="97"/>
      <c r="V40" s="98"/>
      <c r="W40" s="103" t="s">
        <v>6</v>
      </c>
      <c r="X40" s="104"/>
      <c r="Y40" s="104"/>
      <c r="Z40" s="104"/>
      <c r="AA40" s="104"/>
      <c r="AB40" s="105"/>
      <c r="AC40" s="93" t="s">
        <v>7</v>
      </c>
      <c r="AD40" s="107" t="s">
        <v>8</v>
      </c>
      <c r="AE40" s="103" t="s">
        <v>9</v>
      </c>
      <c r="AF40" s="104"/>
      <c r="AG40" s="104"/>
      <c r="AH40" s="105"/>
      <c r="AI40" s="108" t="s">
        <v>10</v>
      </c>
      <c r="AJ40" s="108" t="s">
        <v>11</v>
      </c>
      <c r="AK40" s="75" t="s">
        <v>12</v>
      </c>
    </row>
    <row r="41" spans="2:37" ht="16.5" customHeight="1">
      <c r="B41" s="94"/>
      <c r="C41" s="94"/>
      <c r="D41" s="103" t="s">
        <v>13</v>
      </c>
      <c r="E41" s="104"/>
      <c r="F41" s="104"/>
      <c r="G41" s="104"/>
      <c r="H41" s="104"/>
      <c r="I41" s="104"/>
      <c r="J41" s="105"/>
      <c r="K41" s="103" t="s">
        <v>14</v>
      </c>
      <c r="L41" s="104"/>
      <c r="M41" s="104"/>
      <c r="N41" s="104"/>
      <c r="O41" s="104"/>
      <c r="P41" s="104"/>
      <c r="Q41" s="105"/>
      <c r="R41" s="110"/>
      <c r="S41" s="99" t="s">
        <v>35</v>
      </c>
      <c r="T41" s="99" t="s">
        <v>36</v>
      </c>
      <c r="U41" s="101" t="s">
        <v>37</v>
      </c>
      <c r="V41" s="102"/>
      <c r="W41" s="111" t="s">
        <v>15</v>
      </c>
      <c r="X41" s="112"/>
      <c r="Y41" s="75" t="s">
        <v>16</v>
      </c>
      <c r="Z41" s="75"/>
      <c r="AA41" s="75" t="s">
        <v>17</v>
      </c>
      <c r="AB41" s="75" t="s">
        <v>18</v>
      </c>
      <c r="AC41" s="94"/>
      <c r="AD41" s="107"/>
      <c r="AE41" s="93" t="s">
        <v>19</v>
      </c>
      <c r="AF41" s="93" t="s">
        <v>20</v>
      </c>
      <c r="AG41" s="93" t="s">
        <v>21</v>
      </c>
      <c r="AH41" s="108" t="s">
        <v>22</v>
      </c>
      <c r="AI41" s="110"/>
      <c r="AJ41" s="110"/>
      <c r="AK41" s="75"/>
    </row>
    <row r="42" spans="2:37" ht="63" customHeight="1">
      <c r="B42" s="95"/>
      <c r="C42" s="95"/>
      <c r="D42" s="75" t="s">
        <v>23</v>
      </c>
      <c r="E42" s="76" t="s">
        <v>24</v>
      </c>
      <c r="F42" s="77" t="s">
        <v>25</v>
      </c>
      <c r="G42" s="78" t="s">
        <v>26</v>
      </c>
      <c r="H42" s="78" t="s">
        <v>27</v>
      </c>
      <c r="I42" s="78" t="s">
        <v>28</v>
      </c>
      <c r="J42" s="75" t="s">
        <v>29</v>
      </c>
      <c r="K42" s="75" t="s">
        <v>23</v>
      </c>
      <c r="L42" s="76" t="s">
        <v>24</v>
      </c>
      <c r="M42" s="77" t="s">
        <v>25</v>
      </c>
      <c r="N42" s="78" t="s">
        <v>26</v>
      </c>
      <c r="O42" s="78" t="s">
        <v>27</v>
      </c>
      <c r="P42" s="78" t="s">
        <v>28</v>
      </c>
      <c r="Q42" s="75" t="s">
        <v>29</v>
      </c>
      <c r="R42" s="109"/>
      <c r="S42" s="100"/>
      <c r="T42" s="100"/>
      <c r="U42" s="79" t="s">
        <v>33</v>
      </c>
      <c r="V42" s="79" t="s">
        <v>34</v>
      </c>
      <c r="W42" s="80" t="s">
        <v>42</v>
      </c>
      <c r="X42" s="80" t="s">
        <v>41</v>
      </c>
      <c r="Y42" s="75" t="s">
        <v>30</v>
      </c>
      <c r="Z42" s="75" t="s">
        <v>30</v>
      </c>
      <c r="AA42" s="75" t="s">
        <v>30</v>
      </c>
      <c r="AB42" s="75" t="s">
        <v>30</v>
      </c>
      <c r="AC42" s="95"/>
      <c r="AD42" s="107"/>
      <c r="AE42" s="95"/>
      <c r="AF42" s="95"/>
      <c r="AG42" s="95"/>
      <c r="AH42" s="109"/>
      <c r="AI42" s="109"/>
      <c r="AJ42" s="109"/>
      <c r="AK42" s="75"/>
    </row>
    <row r="43" spans="2:37">
      <c r="B43" s="82">
        <v>1</v>
      </c>
      <c r="C43" s="82">
        <v>2</v>
      </c>
      <c r="D43" s="83">
        <v>3</v>
      </c>
      <c r="E43" s="82">
        <v>4</v>
      </c>
      <c r="F43" s="82">
        <v>5</v>
      </c>
      <c r="G43" s="83">
        <v>6</v>
      </c>
      <c r="H43" s="82">
        <v>7</v>
      </c>
      <c r="I43" s="82">
        <v>8</v>
      </c>
      <c r="J43" s="83">
        <v>9</v>
      </c>
      <c r="K43" s="82">
        <v>10</v>
      </c>
      <c r="L43" s="82">
        <v>11</v>
      </c>
      <c r="M43" s="83">
        <v>12</v>
      </c>
      <c r="N43" s="82">
        <v>13</v>
      </c>
      <c r="O43" s="82">
        <v>14</v>
      </c>
      <c r="P43" s="83">
        <v>15</v>
      </c>
      <c r="Q43" s="82">
        <v>16</v>
      </c>
      <c r="R43" s="82">
        <v>17</v>
      </c>
      <c r="S43" s="83">
        <v>18</v>
      </c>
      <c r="T43" s="82">
        <v>19</v>
      </c>
      <c r="U43" s="82">
        <v>20</v>
      </c>
      <c r="V43" s="83">
        <v>21</v>
      </c>
      <c r="W43" s="82">
        <v>22</v>
      </c>
      <c r="X43" s="82">
        <v>23</v>
      </c>
      <c r="Y43" s="83">
        <v>24</v>
      </c>
      <c r="Z43" s="82">
        <v>25</v>
      </c>
      <c r="AA43" s="82">
        <v>26</v>
      </c>
      <c r="AB43" s="83">
        <v>27</v>
      </c>
      <c r="AC43" s="82">
        <v>28</v>
      </c>
      <c r="AD43" s="82">
        <v>29</v>
      </c>
      <c r="AE43" s="83">
        <v>30</v>
      </c>
      <c r="AF43" s="82">
        <v>31</v>
      </c>
      <c r="AG43" s="82">
        <v>32</v>
      </c>
      <c r="AH43" s="83">
        <v>33</v>
      </c>
      <c r="AI43" s="82">
        <v>34</v>
      </c>
      <c r="AJ43" s="82">
        <v>35</v>
      </c>
      <c r="AK43" s="82">
        <v>36</v>
      </c>
    </row>
    <row r="44" spans="2:37">
      <c r="B44" s="84">
        <v>1</v>
      </c>
      <c r="C44" s="85" t="s">
        <v>107</v>
      </c>
      <c r="D44" s="86">
        <v>3</v>
      </c>
      <c r="E44" s="86">
        <v>4</v>
      </c>
      <c r="F44" s="86">
        <v>1</v>
      </c>
      <c r="G44" s="86">
        <v>2</v>
      </c>
      <c r="H44" s="86">
        <v>7</v>
      </c>
      <c r="I44" s="86">
        <v>8</v>
      </c>
      <c r="J44" s="86">
        <v>0</v>
      </c>
      <c r="K44" s="86">
        <v>0</v>
      </c>
      <c r="L44" s="86">
        <v>1</v>
      </c>
      <c r="M44" s="86">
        <v>0</v>
      </c>
      <c r="N44" s="86">
        <v>3</v>
      </c>
      <c r="O44" s="86">
        <v>5</v>
      </c>
      <c r="P44" s="86">
        <v>3</v>
      </c>
      <c r="Q44" s="86">
        <v>0</v>
      </c>
      <c r="R44" s="87">
        <f>SUM(D44:Q44)</f>
        <v>37</v>
      </c>
      <c r="S44" s="86">
        <v>0</v>
      </c>
      <c r="T44" s="86">
        <v>37</v>
      </c>
      <c r="U44" s="86">
        <v>0</v>
      </c>
      <c r="V44" s="86">
        <v>37</v>
      </c>
      <c r="W44" s="86">
        <v>37</v>
      </c>
      <c r="X44" s="86">
        <v>0</v>
      </c>
      <c r="Y44" s="86">
        <v>37</v>
      </c>
      <c r="Z44" s="86">
        <v>37</v>
      </c>
      <c r="AA44" s="86">
        <v>36</v>
      </c>
      <c r="AB44" s="86">
        <v>20</v>
      </c>
      <c r="AC44" s="86">
        <v>0</v>
      </c>
      <c r="AD44" s="88">
        <v>0</v>
      </c>
      <c r="AE44" s="86">
        <v>28</v>
      </c>
      <c r="AF44" s="86">
        <v>6</v>
      </c>
      <c r="AG44" s="86">
        <v>0</v>
      </c>
      <c r="AH44" s="86">
        <v>0</v>
      </c>
      <c r="AI44" s="86">
        <v>1</v>
      </c>
      <c r="AJ44" s="86">
        <v>0</v>
      </c>
      <c r="AK44" s="86">
        <v>0</v>
      </c>
    </row>
    <row r="45" spans="2:37">
      <c r="B45" s="84">
        <v>2</v>
      </c>
      <c r="C45" s="85" t="s">
        <v>108</v>
      </c>
      <c r="D45" s="86">
        <v>2</v>
      </c>
      <c r="E45" s="86">
        <v>1</v>
      </c>
      <c r="F45" s="86">
        <v>0</v>
      </c>
      <c r="G45" s="86">
        <v>0</v>
      </c>
      <c r="H45" s="86">
        <v>1</v>
      </c>
      <c r="I45" s="86">
        <v>3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4</v>
      </c>
      <c r="P45" s="86">
        <v>3</v>
      </c>
      <c r="Q45" s="86">
        <v>3</v>
      </c>
      <c r="R45" s="87">
        <f t="shared" ref="R45:R49" si="20">SUM(D45:Q45)</f>
        <v>17</v>
      </c>
      <c r="S45" s="86">
        <v>15</v>
      </c>
      <c r="T45" s="86">
        <v>0</v>
      </c>
      <c r="U45" s="86">
        <v>0</v>
      </c>
      <c r="V45" s="86">
        <v>2</v>
      </c>
      <c r="W45" s="86">
        <v>17</v>
      </c>
      <c r="X45" s="86">
        <v>0</v>
      </c>
      <c r="Y45" s="86">
        <v>14</v>
      </c>
      <c r="Z45" s="86">
        <v>14</v>
      </c>
      <c r="AA45" s="86">
        <v>10</v>
      </c>
      <c r="AB45" s="86">
        <v>7</v>
      </c>
      <c r="AC45" s="86">
        <v>0</v>
      </c>
      <c r="AD45" s="88">
        <v>0</v>
      </c>
      <c r="AE45" s="86">
        <v>15</v>
      </c>
      <c r="AF45" s="86">
        <v>1</v>
      </c>
      <c r="AG45" s="86">
        <v>1</v>
      </c>
      <c r="AH45" s="86">
        <v>0</v>
      </c>
      <c r="AI45" s="86">
        <v>0</v>
      </c>
      <c r="AJ45" s="86">
        <v>0</v>
      </c>
      <c r="AK45" s="86">
        <v>0</v>
      </c>
    </row>
    <row r="46" spans="2:37">
      <c r="B46" s="84">
        <v>3</v>
      </c>
      <c r="C46" s="85" t="s">
        <v>119</v>
      </c>
      <c r="D46" s="86">
        <v>1</v>
      </c>
      <c r="E46" s="86">
        <v>1</v>
      </c>
      <c r="F46" s="86">
        <v>3</v>
      </c>
      <c r="G46" s="86">
        <v>0</v>
      </c>
      <c r="H46" s="86">
        <v>6</v>
      </c>
      <c r="I46" s="86">
        <v>3</v>
      </c>
      <c r="J46" s="86">
        <v>2</v>
      </c>
      <c r="K46" s="86">
        <v>0</v>
      </c>
      <c r="L46" s="86">
        <v>0</v>
      </c>
      <c r="M46" s="86">
        <v>1</v>
      </c>
      <c r="N46" s="86">
        <v>1</v>
      </c>
      <c r="O46" s="86">
        <v>0</v>
      </c>
      <c r="P46" s="86">
        <v>4</v>
      </c>
      <c r="Q46" s="86">
        <v>2</v>
      </c>
      <c r="R46" s="87">
        <f t="shared" si="20"/>
        <v>24</v>
      </c>
      <c r="S46" s="86">
        <v>1</v>
      </c>
      <c r="T46" s="86">
        <v>0</v>
      </c>
      <c r="U46" s="86">
        <v>0</v>
      </c>
      <c r="V46" s="86">
        <v>23</v>
      </c>
      <c r="W46" s="86">
        <v>23</v>
      </c>
      <c r="X46" s="86">
        <v>1</v>
      </c>
      <c r="Y46" s="86">
        <v>21</v>
      </c>
      <c r="Z46" s="86">
        <v>21</v>
      </c>
      <c r="AA46" s="86">
        <v>17</v>
      </c>
      <c r="AB46" s="86">
        <v>14</v>
      </c>
      <c r="AC46" s="86">
        <v>0</v>
      </c>
      <c r="AD46" s="88">
        <v>0</v>
      </c>
      <c r="AE46" s="86">
        <v>19</v>
      </c>
      <c r="AF46" s="86">
        <v>5</v>
      </c>
      <c r="AG46" s="86">
        <v>0</v>
      </c>
      <c r="AH46" s="86">
        <v>0</v>
      </c>
      <c r="AI46" s="86">
        <v>1</v>
      </c>
      <c r="AJ46" s="86">
        <v>0</v>
      </c>
      <c r="AK46" s="86">
        <v>0</v>
      </c>
    </row>
    <row r="47" spans="2:37">
      <c r="B47" s="84">
        <v>4</v>
      </c>
      <c r="C47" s="85" t="s">
        <v>109</v>
      </c>
      <c r="D47" s="86">
        <v>1</v>
      </c>
      <c r="E47" s="86">
        <v>9</v>
      </c>
      <c r="F47" s="86">
        <v>4</v>
      </c>
      <c r="G47" s="86">
        <v>4</v>
      </c>
      <c r="H47" s="86">
        <v>5</v>
      </c>
      <c r="I47" s="86">
        <v>2</v>
      </c>
      <c r="J47" s="86">
        <v>2</v>
      </c>
      <c r="K47" s="86">
        <v>1</v>
      </c>
      <c r="L47" s="86">
        <v>3</v>
      </c>
      <c r="M47" s="86">
        <v>0</v>
      </c>
      <c r="N47" s="86">
        <v>2</v>
      </c>
      <c r="O47" s="86">
        <v>4</v>
      </c>
      <c r="P47" s="86">
        <v>3</v>
      </c>
      <c r="Q47" s="86">
        <v>5</v>
      </c>
      <c r="R47" s="87">
        <f t="shared" si="20"/>
        <v>45</v>
      </c>
      <c r="S47" s="86">
        <v>0</v>
      </c>
      <c r="T47" s="86">
        <v>0</v>
      </c>
      <c r="U47" s="86">
        <v>1</v>
      </c>
      <c r="V47" s="86">
        <v>44</v>
      </c>
      <c r="W47" s="86">
        <v>45</v>
      </c>
      <c r="X47" s="86">
        <v>0</v>
      </c>
      <c r="Y47" s="86">
        <v>16</v>
      </c>
      <c r="Z47" s="86">
        <v>16</v>
      </c>
      <c r="AA47" s="86">
        <v>17</v>
      </c>
      <c r="AB47" s="86">
        <v>15</v>
      </c>
      <c r="AC47" s="86">
        <v>0</v>
      </c>
      <c r="AD47" s="88">
        <v>0</v>
      </c>
      <c r="AE47" s="86">
        <v>44</v>
      </c>
      <c r="AF47" s="86">
        <v>1</v>
      </c>
      <c r="AG47" s="86">
        <v>0</v>
      </c>
      <c r="AH47" s="86">
        <v>0</v>
      </c>
      <c r="AI47" s="86">
        <v>0</v>
      </c>
      <c r="AJ47" s="86">
        <v>0</v>
      </c>
      <c r="AK47" s="86">
        <v>0</v>
      </c>
    </row>
    <row r="48" spans="2:37">
      <c r="B48" s="84">
        <v>5</v>
      </c>
      <c r="C48" s="85" t="s">
        <v>110</v>
      </c>
      <c r="D48" s="86">
        <v>0</v>
      </c>
      <c r="E48" s="86">
        <v>7</v>
      </c>
      <c r="F48" s="86">
        <v>4</v>
      </c>
      <c r="G48" s="86">
        <v>0</v>
      </c>
      <c r="H48" s="86">
        <v>6</v>
      </c>
      <c r="I48" s="86">
        <v>10</v>
      </c>
      <c r="J48" s="86">
        <v>2</v>
      </c>
      <c r="K48" s="86">
        <v>3</v>
      </c>
      <c r="L48" s="86">
        <v>0</v>
      </c>
      <c r="M48" s="86">
        <v>0</v>
      </c>
      <c r="N48" s="86">
        <v>0</v>
      </c>
      <c r="O48" s="86">
        <v>6</v>
      </c>
      <c r="P48" s="86">
        <v>9</v>
      </c>
      <c r="Q48" s="86">
        <v>2</v>
      </c>
      <c r="R48" s="87">
        <f t="shared" si="20"/>
        <v>49</v>
      </c>
      <c r="S48" s="86">
        <v>21</v>
      </c>
      <c r="T48" s="86">
        <v>19</v>
      </c>
      <c r="U48" s="86">
        <v>0</v>
      </c>
      <c r="V48" s="86">
        <v>9</v>
      </c>
      <c r="W48" s="86">
        <v>49</v>
      </c>
      <c r="X48" s="86">
        <v>0</v>
      </c>
      <c r="Y48" s="86">
        <v>46</v>
      </c>
      <c r="Z48" s="86">
        <v>46</v>
      </c>
      <c r="AA48" s="86">
        <v>24</v>
      </c>
      <c r="AB48" s="86">
        <v>11</v>
      </c>
      <c r="AC48" s="86">
        <v>0</v>
      </c>
      <c r="AD48" s="88">
        <v>0</v>
      </c>
      <c r="AE48" s="86">
        <v>41</v>
      </c>
      <c r="AF48" s="86">
        <v>8</v>
      </c>
      <c r="AG48" s="86">
        <v>0</v>
      </c>
      <c r="AH48" s="86">
        <v>0</v>
      </c>
      <c r="AI48" s="86">
        <v>0</v>
      </c>
      <c r="AJ48" s="86">
        <v>0</v>
      </c>
      <c r="AK48" s="86">
        <v>0</v>
      </c>
    </row>
    <row r="49" spans="2:37">
      <c r="B49" s="84">
        <v>6</v>
      </c>
      <c r="C49" s="85" t="s">
        <v>111</v>
      </c>
      <c r="D49" s="86">
        <v>0</v>
      </c>
      <c r="E49" s="86">
        <v>1</v>
      </c>
      <c r="F49" s="86">
        <v>0</v>
      </c>
      <c r="G49" s="86">
        <v>1</v>
      </c>
      <c r="H49" s="86">
        <v>3</v>
      </c>
      <c r="I49" s="86">
        <v>1</v>
      </c>
      <c r="J49" s="86">
        <v>3</v>
      </c>
      <c r="K49" s="86">
        <v>0</v>
      </c>
      <c r="L49" s="86">
        <v>1</v>
      </c>
      <c r="M49" s="86">
        <v>0</v>
      </c>
      <c r="N49" s="86">
        <v>0</v>
      </c>
      <c r="O49" s="86">
        <v>4</v>
      </c>
      <c r="P49" s="86">
        <v>3</v>
      </c>
      <c r="Q49" s="86">
        <v>1</v>
      </c>
      <c r="R49" s="87">
        <f t="shared" si="20"/>
        <v>18</v>
      </c>
      <c r="S49" s="86">
        <v>4</v>
      </c>
      <c r="T49" s="86">
        <v>14</v>
      </c>
      <c r="U49" s="86">
        <v>0</v>
      </c>
      <c r="V49" s="86">
        <v>0</v>
      </c>
      <c r="W49" s="86">
        <v>18</v>
      </c>
      <c r="X49" s="86">
        <v>0</v>
      </c>
      <c r="Y49" s="86">
        <v>15</v>
      </c>
      <c r="Z49" s="86">
        <v>15</v>
      </c>
      <c r="AA49" s="86">
        <v>10</v>
      </c>
      <c r="AB49" s="86">
        <v>2</v>
      </c>
      <c r="AC49" s="86">
        <v>0</v>
      </c>
      <c r="AD49" s="88">
        <v>0</v>
      </c>
      <c r="AE49" s="86">
        <v>16</v>
      </c>
      <c r="AF49" s="86">
        <v>2</v>
      </c>
      <c r="AG49" s="86">
        <v>0</v>
      </c>
      <c r="AH49" s="86">
        <v>0</v>
      </c>
      <c r="AI49" s="86">
        <v>2</v>
      </c>
      <c r="AJ49" s="86">
        <v>0</v>
      </c>
      <c r="AK49" s="86">
        <v>0</v>
      </c>
    </row>
    <row r="50" spans="2:37">
      <c r="B50" s="84">
        <v>7</v>
      </c>
      <c r="C50" s="85" t="s">
        <v>112</v>
      </c>
      <c r="D50" s="86">
        <v>10</v>
      </c>
      <c r="E50" s="86">
        <v>6</v>
      </c>
      <c r="F50" s="86">
        <v>8</v>
      </c>
      <c r="G50" s="86">
        <v>8</v>
      </c>
      <c r="H50" s="86">
        <v>45</v>
      </c>
      <c r="I50" s="86">
        <v>8</v>
      </c>
      <c r="J50" s="86">
        <v>6</v>
      </c>
      <c r="K50" s="86">
        <v>6</v>
      </c>
      <c r="L50" s="86">
        <v>4</v>
      </c>
      <c r="M50" s="86">
        <v>7</v>
      </c>
      <c r="N50" s="86">
        <v>8</v>
      </c>
      <c r="O50" s="86">
        <v>10</v>
      </c>
      <c r="P50" s="86">
        <v>7</v>
      </c>
      <c r="Q50" s="86">
        <v>8</v>
      </c>
      <c r="R50" s="87">
        <v>141</v>
      </c>
      <c r="S50" s="86">
        <v>0</v>
      </c>
      <c r="T50" s="86">
        <v>3</v>
      </c>
      <c r="U50" s="86">
        <v>2</v>
      </c>
      <c r="V50" s="86">
        <v>48</v>
      </c>
      <c r="W50" s="86">
        <v>50</v>
      </c>
      <c r="X50" s="86">
        <v>0</v>
      </c>
      <c r="Y50" s="86">
        <v>30</v>
      </c>
      <c r="Z50" s="86">
        <v>30</v>
      </c>
      <c r="AA50" s="86">
        <v>47</v>
      </c>
      <c r="AB50" s="86">
        <v>58</v>
      </c>
      <c r="AC50" s="86">
        <v>0</v>
      </c>
      <c r="AD50" s="88">
        <v>0</v>
      </c>
      <c r="AE50" s="86">
        <v>136</v>
      </c>
      <c r="AF50" s="86">
        <v>3</v>
      </c>
      <c r="AG50" s="86">
        <v>2</v>
      </c>
      <c r="AH50" s="86">
        <v>0</v>
      </c>
      <c r="AI50" s="86">
        <v>0</v>
      </c>
      <c r="AJ50" s="86">
        <v>0</v>
      </c>
      <c r="AK50" s="86">
        <v>0</v>
      </c>
    </row>
    <row r="51" spans="2:37">
      <c r="B51" s="84">
        <v>8</v>
      </c>
      <c r="C51" s="85" t="s">
        <v>113</v>
      </c>
      <c r="D51" s="86">
        <v>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>
        <v>0</v>
      </c>
      <c r="L51" s="86">
        <v>0</v>
      </c>
      <c r="M51" s="86">
        <v>0</v>
      </c>
      <c r="N51" s="86">
        <v>0</v>
      </c>
      <c r="O51" s="86">
        <v>0</v>
      </c>
      <c r="P51" s="86">
        <v>0</v>
      </c>
      <c r="Q51" s="86">
        <v>0</v>
      </c>
      <c r="R51" s="87">
        <f t="shared" ref="R51:R56" si="21">SUM(D51:Q51)</f>
        <v>0</v>
      </c>
      <c r="S51" s="86">
        <v>0</v>
      </c>
      <c r="T51" s="86">
        <v>0</v>
      </c>
      <c r="U51" s="86">
        <v>0</v>
      </c>
      <c r="V51" s="86">
        <v>0</v>
      </c>
      <c r="W51" s="86">
        <v>0</v>
      </c>
      <c r="X51" s="86">
        <v>0</v>
      </c>
      <c r="Y51" s="86">
        <v>0</v>
      </c>
      <c r="Z51" s="86">
        <v>0</v>
      </c>
      <c r="AA51" s="86">
        <v>0</v>
      </c>
      <c r="AB51" s="86">
        <v>0</v>
      </c>
      <c r="AC51" s="86">
        <v>0</v>
      </c>
      <c r="AD51" s="88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6">
        <v>0</v>
      </c>
      <c r="AK51" s="86">
        <v>0</v>
      </c>
    </row>
    <row r="52" spans="2:37">
      <c r="B52" s="84">
        <v>9</v>
      </c>
      <c r="C52" s="85" t="s">
        <v>114</v>
      </c>
      <c r="D52" s="86">
        <v>1</v>
      </c>
      <c r="E52" s="86">
        <v>7</v>
      </c>
      <c r="F52" s="86">
        <v>0</v>
      </c>
      <c r="G52" s="86">
        <v>2</v>
      </c>
      <c r="H52" s="86">
        <v>5</v>
      </c>
      <c r="I52" s="86">
        <v>7</v>
      </c>
      <c r="J52" s="86">
        <v>1</v>
      </c>
      <c r="K52" s="86">
        <v>2</v>
      </c>
      <c r="L52" s="86">
        <v>1</v>
      </c>
      <c r="M52" s="86">
        <v>0</v>
      </c>
      <c r="N52" s="86">
        <v>0</v>
      </c>
      <c r="O52" s="86">
        <v>4</v>
      </c>
      <c r="P52" s="86">
        <v>3</v>
      </c>
      <c r="Q52" s="86">
        <v>0</v>
      </c>
      <c r="R52" s="87">
        <f t="shared" si="21"/>
        <v>33</v>
      </c>
      <c r="S52" s="86">
        <v>3</v>
      </c>
      <c r="T52" s="86">
        <v>0</v>
      </c>
      <c r="U52" s="86">
        <v>0</v>
      </c>
      <c r="V52" s="86">
        <v>30</v>
      </c>
      <c r="W52" s="86">
        <v>33</v>
      </c>
      <c r="X52" s="86">
        <v>0</v>
      </c>
      <c r="Y52" s="86">
        <v>5</v>
      </c>
      <c r="Z52" s="86">
        <v>5</v>
      </c>
      <c r="AA52" s="86">
        <v>6</v>
      </c>
      <c r="AB52" s="86">
        <v>6</v>
      </c>
      <c r="AC52" s="86">
        <v>0</v>
      </c>
      <c r="AD52" s="88">
        <v>0</v>
      </c>
      <c r="AE52" s="86">
        <v>31</v>
      </c>
      <c r="AF52" s="86">
        <v>2</v>
      </c>
      <c r="AG52" s="86">
        <v>0</v>
      </c>
      <c r="AH52" s="86">
        <v>0</v>
      </c>
      <c r="AI52" s="86">
        <v>0</v>
      </c>
      <c r="AJ52" s="86">
        <v>0</v>
      </c>
      <c r="AK52" s="86">
        <v>0</v>
      </c>
    </row>
    <row r="53" spans="2:37">
      <c r="B53" s="84">
        <v>10</v>
      </c>
      <c r="C53" s="85" t="s">
        <v>115</v>
      </c>
      <c r="D53" s="86">
        <v>0</v>
      </c>
      <c r="E53" s="86">
        <v>0</v>
      </c>
      <c r="F53" s="86">
        <v>0</v>
      </c>
      <c r="G53" s="86">
        <v>0</v>
      </c>
      <c r="H53" s="86">
        <v>0</v>
      </c>
      <c r="I53" s="86">
        <v>1</v>
      </c>
      <c r="J53" s="86">
        <v>0</v>
      </c>
      <c r="K53" s="86">
        <v>0</v>
      </c>
      <c r="L53" s="86">
        <v>1</v>
      </c>
      <c r="M53" s="86">
        <v>0</v>
      </c>
      <c r="N53" s="86">
        <v>1</v>
      </c>
      <c r="O53" s="86">
        <v>0</v>
      </c>
      <c r="P53" s="86">
        <v>3</v>
      </c>
      <c r="Q53" s="86">
        <v>0</v>
      </c>
      <c r="R53" s="87">
        <f t="shared" si="21"/>
        <v>6</v>
      </c>
      <c r="S53" s="86">
        <v>2</v>
      </c>
      <c r="T53" s="86">
        <v>0</v>
      </c>
      <c r="U53" s="86">
        <v>0</v>
      </c>
      <c r="V53" s="86">
        <v>4</v>
      </c>
      <c r="W53" s="86">
        <v>6</v>
      </c>
      <c r="X53" s="86">
        <v>0</v>
      </c>
      <c r="Y53" s="86">
        <v>6</v>
      </c>
      <c r="Z53" s="86">
        <v>6</v>
      </c>
      <c r="AA53" s="86">
        <v>5</v>
      </c>
      <c r="AB53" s="86">
        <v>3</v>
      </c>
      <c r="AC53" s="86">
        <v>0</v>
      </c>
      <c r="AD53" s="88">
        <v>0</v>
      </c>
      <c r="AE53" s="86">
        <v>5</v>
      </c>
      <c r="AF53" s="86">
        <v>1</v>
      </c>
      <c r="AG53" s="86">
        <v>0</v>
      </c>
      <c r="AH53" s="86">
        <v>0</v>
      </c>
      <c r="AI53" s="86">
        <v>0</v>
      </c>
      <c r="AJ53" s="86">
        <v>0</v>
      </c>
      <c r="AK53" s="86">
        <v>0</v>
      </c>
    </row>
    <row r="54" spans="2:37">
      <c r="B54" s="84">
        <v>11</v>
      </c>
      <c r="C54" s="85" t="s">
        <v>116</v>
      </c>
      <c r="D54" s="86">
        <v>4</v>
      </c>
      <c r="E54" s="86">
        <v>3</v>
      </c>
      <c r="F54" s="86">
        <v>1</v>
      </c>
      <c r="G54" s="86">
        <v>1</v>
      </c>
      <c r="H54" s="86">
        <v>3</v>
      </c>
      <c r="I54" s="86">
        <v>3</v>
      </c>
      <c r="J54" s="86">
        <v>0</v>
      </c>
      <c r="K54" s="86">
        <v>1</v>
      </c>
      <c r="L54" s="86">
        <v>0</v>
      </c>
      <c r="M54" s="86">
        <v>0</v>
      </c>
      <c r="N54" s="86">
        <v>0</v>
      </c>
      <c r="O54" s="86">
        <v>2</v>
      </c>
      <c r="P54" s="86">
        <v>0</v>
      </c>
      <c r="Q54" s="86">
        <v>0</v>
      </c>
      <c r="R54" s="87">
        <f t="shared" si="21"/>
        <v>18</v>
      </c>
      <c r="S54" s="86">
        <v>18</v>
      </c>
      <c r="T54" s="86">
        <v>0</v>
      </c>
      <c r="U54" s="86">
        <v>0</v>
      </c>
      <c r="V54" s="86">
        <v>0</v>
      </c>
      <c r="W54" s="86">
        <v>15</v>
      </c>
      <c r="X54" s="86">
        <v>3</v>
      </c>
      <c r="Y54" s="86">
        <v>8</v>
      </c>
      <c r="Z54" s="86">
        <v>8</v>
      </c>
      <c r="AA54" s="86">
        <v>9</v>
      </c>
      <c r="AB54" s="86">
        <v>6</v>
      </c>
      <c r="AC54" s="86">
        <v>0</v>
      </c>
      <c r="AD54" s="88">
        <v>0</v>
      </c>
      <c r="AE54" s="86">
        <v>12</v>
      </c>
      <c r="AF54" s="86">
        <v>6</v>
      </c>
      <c r="AG54" s="86">
        <v>0</v>
      </c>
      <c r="AH54" s="86">
        <v>0</v>
      </c>
      <c r="AI54" s="86">
        <v>0</v>
      </c>
      <c r="AJ54" s="86">
        <v>0</v>
      </c>
      <c r="AK54" s="86">
        <v>0</v>
      </c>
    </row>
    <row r="55" spans="2:37">
      <c r="B55" s="84">
        <v>12</v>
      </c>
      <c r="C55" s="85" t="s">
        <v>117</v>
      </c>
      <c r="D55" s="86">
        <v>1</v>
      </c>
      <c r="E55" s="86">
        <v>0</v>
      </c>
      <c r="F55" s="86">
        <v>1</v>
      </c>
      <c r="G55" s="86">
        <v>0</v>
      </c>
      <c r="H55" s="86">
        <v>0</v>
      </c>
      <c r="I55" s="86">
        <v>0</v>
      </c>
      <c r="J55" s="86">
        <v>0</v>
      </c>
      <c r="K55" s="86">
        <v>0</v>
      </c>
      <c r="L55" s="86">
        <v>0</v>
      </c>
      <c r="M55" s="86">
        <v>0</v>
      </c>
      <c r="N55" s="86">
        <v>0</v>
      </c>
      <c r="O55" s="86">
        <v>2</v>
      </c>
      <c r="P55" s="86">
        <v>3</v>
      </c>
      <c r="Q55" s="86">
        <v>1</v>
      </c>
      <c r="R55" s="87">
        <f t="shared" si="21"/>
        <v>8</v>
      </c>
      <c r="S55" s="86">
        <v>0</v>
      </c>
      <c r="T55" s="86">
        <v>0</v>
      </c>
      <c r="U55" s="86">
        <v>1</v>
      </c>
      <c r="V55" s="86">
        <v>7</v>
      </c>
      <c r="W55" s="86">
        <v>8</v>
      </c>
      <c r="X55" s="86">
        <v>0</v>
      </c>
      <c r="Y55" s="86">
        <v>8</v>
      </c>
      <c r="Z55" s="86">
        <v>8</v>
      </c>
      <c r="AA55" s="86">
        <v>8</v>
      </c>
      <c r="AB55" s="86">
        <v>8</v>
      </c>
      <c r="AC55" s="86"/>
      <c r="AD55" s="88">
        <v>0</v>
      </c>
      <c r="AE55" s="86">
        <v>6</v>
      </c>
      <c r="AF55" s="86">
        <v>2</v>
      </c>
      <c r="AG55" s="86">
        <v>0</v>
      </c>
      <c r="AH55" s="86">
        <v>0</v>
      </c>
      <c r="AI55" s="86">
        <v>1</v>
      </c>
      <c r="AJ55" s="86">
        <v>0</v>
      </c>
      <c r="AK55" s="86">
        <v>0</v>
      </c>
    </row>
    <row r="56" spans="2:37">
      <c r="B56" s="84">
        <v>13</v>
      </c>
      <c r="C56" s="85" t="s">
        <v>118</v>
      </c>
      <c r="D56" s="86">
        <v>0</v>
      </c>
      <c r="E56" s="86">
        <v>0</v>
      </c>
      <c r="F56" s="86">
        <v>0</v>
      </c>
      <c r="G56" s="86">
        <v>0</v>
      </c>
      <c r="H56" s="86">
        <v>0</v>
      </c>
      <c r="I56" s="86">
        <v>1</v>
      </c>
      <c r="J56" s="86">
        <v>0</v>
      </c>
      <c r="K56" s="86">
        <v>0</v>
      </c>
      <c r="L56" s="86">
        <v>0</v>
      </c>
      <c r="M56" s="86">
        <v>0</v>
      </c>
      <c r="N56" s="86">
        <v>0</v>
      </c>
      <c r="O56" s="86">
        <v>1</v>
      </c>
      <c r="P56" s="86">
        <v>0</v>
      </c>
      <c r="Q56" s="86">
        <v>1</v>
      </c>
      <c r="R56" s="87">
        <f t="shared" si="21"/>
        <v>3</v>
      </c>
      <c r="S56" s="86">
        <v>0</v>
      </c>
      <c r="T56" s="86">
        <v>0</v>
      </c>
      <c r="U56" s="86">
        <v>3</v>
      </c>
      <c r="V56" s="86">
        <v>0</v>
      </c>
      <c r="W56" s="86">
        <v>3</v>
      </c>
      <c r="X56" s="86">
        <v>0</v>
      </c>
      <c r="Y56" s="86">
        <v>0</v>
      </c>
      <c r="Z56" s="86">
        <v>0</v>
      </c>
      <c r="AA56" s="86">
        <v>0</v>
      </c>
      <c r="AB56" s="86">
        <v>0</v>
      </c>
      <c r="AC56" s="86">
        <v>3</v>
      </c>
      <c r="AD56" s="88">
        <v>0</v>
      </c>
      <c r="AE56" s="86">
        <v>3</v>
      </c>
      <c r="AF56" s="86">
        <v>0</v>
      </c>
      <c r="AG56" s="86">
        <v>0</v>
      </c>
      <c r="AH56" s="86">
        <v>0</v>
      </c>
      <c r="AI56" s="86">
        <v>0</v>
      </c>
      <c r="AJ56" s="86">
        <v>0</v>
      </c>
      <c r="AK56" s="86">
        <v>0</v>
      </c>
    </row>
    <row r="57" spans="2:37">
      <c r="B57" s="91" t="s">
        <v>31</v>
      </c>
      <c r="C57" s="92"/>
      <c r="D57" s="89">
        <f>SUM(D44:D56)</f>
        <v>23</v>
      </c>
      <c r="E57" s="89">
        <f t="shared" ref="E57:N57" si="22">SUM(E44:E56)</f>
        <v>39</v>
      </c>
      <c r="F57" s="89">
        <f t="shared" si="22"/>
        <v>22</v>
      </c>
      <c r="G57" s="89">
        <f t="shared" si="22"/>
        <v>18</v>
      </c>
      <c r="H57" s="89">
        <f t="shared" si="22"/>
        <v>81</v>
      </c>
      <c r="I57" s="89">
        <f t="shared" si="22"/>
        <v>47</v>
      </c>
      <c r="J57" s="89">
        <f t="shared" si="22"/>
        <v>16</v>
      </c>
      <c r="K57" s="89">
        <f t="shared" si="22"/>
        <v>13</v>
      </c>
      <c r="L57" s="89">
        <f t="shared" si="22"/>
        <v>11</v>
      </c>
      <c r="M57" s="89">
        <f t="shared" si="22"/>
        <v>8</v>
      </c>
      <c r="N57" s="89">
        <f t="shared" si="22"/>
        <v>15</v>
      </c>
      <c r="O57" s="89">
        <f>SUM(O44:O56)</f>
        <v>42</v>
      </c>
      <c r="P57" s="89">
        <f t="shared" ref="P57:Q57" si="23">SUM(P44:P56)</f>
        <v>41</v>
      </c>
      <c r="Q57" s="89">
        <f t="shared" si="23"/>
        <v>23</v>
      </c>
      <c r="R57" s="87">
        <f>SUM(R44:R56)</f>
        <v>399</v>
      </c>
      <c r="S57" s="89">
        <f t="shared" ref="S57:AC57" si="24">SUM(S44:S56)</f>
        <v>64</v>
      </c>
      <c r="T57" s="89">
        <f t="shared" si="24"/>
        <v>73</v>
      </c>
      <c r="U57" s="89">
        <f t="shared" si="24"/>
        <v>7</v>
      </c>
      <c r="V57" s="89">
        <f t="shared" si="24"/>
        <v>204</v>
      </c>
      <c r="W57" s="89">
        <f t="shared" si="24"/>
        <v>304</v>
      </c>
      <c r="X57" s="89">
        <f t="shared" si="24"/>
        <v>4</v>
      </c>
      <c r="Y57" s="89">
        <f t="shared" si="24"/>
        <v>206</v>
      </c>
      <c r="Z57" s="89">
        <f t="shared" si="24"/>
        <v>206</v>
      </c>
      <c r="AA57" s="89">
        <f t="shared" si="24"/>
        <v>189</v>
      </c>
      <c r="AB57" s="89">
        <f t="shared" si="24"/>
        <v>150</v>
      </c>
      <c r="AC57" s="89">
        <f t="shared" si="24"/>
        <v>3</v>
      </c>
      <c r="AD57" s="90">
        <v>0</v>
      </c>
      <c r="AE57" s="89">
        <f t="shared" ref="AE57:AK57" si="25">SUM(AE44:AE56)</f>
        <v>356</v>
      </c>
      <c r="AF57" s="89">
        <f t="shared" si="25"/>
        <v>37</v>
      </c>
      <c r="AG57" s="89">
        <f t="shared" si="25"/>
        <v>3</v>
      </c>
      <c r="AH57" s="89">
        <f t="shared" si="25"/>
        <v>0</v>
      </c>
      <c r="AI57" s="89">
        <f t="shared" si="25"/>
        <v>5</v>
      </c>
      <c r="AJ57" s="89">
        <f t="shared" si="25"/>
        <v>0</v>
      </c>
      <c r="AK57" s="89">
        <f t="shared" si="25"/>
        <v>0</v>
      </c>
    </row>
    <row r="66" spans="1:36" ht="20.25">
      <c r="A66" s="106" t="s">
        <v>126</v>
      </c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</row>
    <row r="68" spans="1:36">
      <c r="A68" s="73" t="s">
        <v>38</v>
      </c>
      <c r="B68" s="73"/>
      <c r="C68" s="72" t="s">
        <v>40</v>
      </c>
      <c r="D68" s="72" t="s">
        <v>104</v>
      </c>
    </row>
    <row r="69" spans="1:36">
      <c r="A69" s="73" t="s">
        <v>1</v>
      </c>
      <c r="B69" s="73"/>
      <c r="C69" s="72" t="s">
        <v>121</v>
      </c>
    </row>
    <row r="70" spans="1:36">
      <c r="A70" s="73" t="s">
        <v>2</v>
      </c>
      <c r="B70" s="73"/>
      <c r="D70" s="74">
        <v>2025</v>
      </c>
    </row>
    <row r="71" spans="1:36" ht="16.5" customHeight="1">
      <c r="A71" s="93" t="s">
        <v>3</v>
      </c>
      <c r="B71" s="93" t="s">
        <v>106</v>
      </c>
      <c r="C71" s="103" t="s">
        <v>4</v>
      </c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08" t="s">
        <v>5</v>
      </c>
      <c r="R71" s="96" t="s">
        <v>32</v>
      </c>
      <c r="S71" s="97"/>
      <c r="T71" s="97"/>
      <c r="U71" s="98"/>
      <c r="V71" s="103" t="s">
        <v>6</v>
      </c>
      <c r="W71" s="104"/>
      <c r="X71" s="104"/>
      <c r="Y71" s="104"/>
      <c r="Z71" s="104"/>
      <c r="AA71" s="105"/>
      <c r="AB71" s="93" t="s">
        <v>7</v>
      </c>
      <c r="AC71" s="107" t="s">
        <v>8</v>
      </c>
      <c r="AD71" s="103" t="s">
        <v>9</v>
      </c>
      <c r="AE71" s="104"/>
      <c r="AF71" s="104"/>
      <c r="AG71" s="105"/>
      <c r="AH71" s="108" t="s">
        <v>10</v>
      </c>
      <c r="AI71" s="108" t="s">
        <v>11</v>
      </c>
      <c r="AJ71" s="75" t="s">
        <v>12</v>
      </c>
    </row>
    <row r="72" spans="1:36" ht="16.5" customHeight="1">
      <c r="A72" s="94"/>
      <c r="B72" s="94"/>
      <c r="C72" s="103" t="s">
        <v>13</v>
      </c>
      <c r="D72" s="104"/>
      <c r="E72" s="104"/>
      <c r="F72" s="104"/>
      <c r="G72" s="104"/>
      <c r="H72" s="104"/>
      <c r="I72" s="105"/>
      <c r="J72" s="103" t="s">
        <v>14</v>
      </c>
      <c r="K72" s="104"/>
      <c r="L72" s="104"/>
      <c r="M72" s="104"/>
      <c r="N72" s="104"/>
      <c r="O72" s="104"/>
      <c r="P72" s="105"/>
      <c r="Q72" s="110"/>
      <c r="R72" s="99" t="s">
        <v>35</v>
      </c>
      <c r="S72" s="99" t="s">
        <v>36</v>
      </c>
      <c r="T72" s="101" t="s">
        <v>37</v>
      </c>
      <c r="U72" s="102"/>
      <c r="V72" s="111" t="s">
        <v>15</v>
      </c>
      <c r="W72" s="112"/>
      <c r="X72" s="75" t="s">
        <v>16</v>
      </c>
      <c r="Y72" s="75"/>
      <c r="Z72" s="75" t="s">
        <v>17</v>
      </c>
      <c r="AA72" s="75" t="s">
        <v>18</v>
      </c>
      <c r="AB72" s="94"/>
      <c r="AC72" s="107"/>
      <c r="AD72" s="93" t="s">
        <v>19</v>
      </c>
      <c r="AE72" s="93" t="s">
        <v>20</v>
      </c>
      <c r="AF72" s="93" t="s">
        <v>21</v>
      </c>
      <c r="AG72" s="108" t="s">
        <v>22</v>
      </c>
      <c r="AH72" s="110"/>
      <c r="AI72" s="110"/>
      <c r="AJ72" s="75"/>
    </row>
    <row r="73" spans="1:36" ht="63" customHeight="1">
      <c r="A73" s="95"/>
      <c r="B73" s="95"/>
      <c r="C73" s="75" t="s">
        <v>23</v>
      </c>
      <c r="D73" s="76" t="s">
        <v>24</v>
      </c>
      <c r="E73" s="77" t="s">
        <v>25</v>
      </c>
      <c r="F73" s="78" t="s">
        <v>26</v>
      </c>
      <c r="G73" s="78" t="s">
        <v>27</v>
      </c>
      <c r="H73" s="78" t="s">
        <v>28</v>
      </c>
      <c r="I73" s="75" t="s">
        <v>29</v>
      </c>
      <c r="J73" s="75" t="s">
        <v>23</v>
      </c>
      <c r="K73" s="76" t="s">
        <v>24</v>
      </c>
      <c r="L73" s="77" t="s">
        <v>25</v>
      </c>
      <c r="M73" s="78" t="s">
        <v>26</v>
      </c>
      <c r="N73" s="78" t="s">
        <v>27</v>
      </c>
      <c r="O73" s="78" t="s">
        <v>28</v>
      </c>
      <c r="P73" s="75" t="s">
        <v>29</v>
      </c>
      <c r="Q73" s="109"/>
      <c r="R73" s="100"/>
      <c r="S73" s="100"/>
      <c r="T73" s="79" t="s">
        <v>33</v>
      </c>
      <c r="U73" s="79" t="s">
        <v>34</v>
      </c>
      <c r="V73" s="80" t="s">
        <v>42</v>
      </c>
      <c r="W73" s="80" t="s">
        <v>41</v>
      </c>
      <c r="X73" s="75" t="s">
        <v>30</v>
      </c>
      <c r="Y73" s="75" t="s">
        <v>30</v>
      </c>
      <c r="Z73" s="75" t="s">
        <v>30</v>
      </c>
      <c r="AA73" s="75" t="s">
        <v>30</v>
      </c>
      <c r="AB73" s="95"/>
      <c r="AC73" s="107"/>
      <c r="AD73" s="95"/>
      <c r="AE73" s="95"/>
      <c r="AF73" s="95"/>
      <c r="AG73" s="109"/>
      <c r="AH73" s="109"/>
      <c r="AI73" s="109"/>
      <c r="AJ73" s="75"/>
    </row>
    <row r="74" spans="1:36" ht="24" customHeight="1">
      <c r="A74" s="82">
        <v>1</v>
      </c>
      <c r="B74" s="82">
        <v>2</v>
      </c>
      <c r="C74" s="83">
        <v>3</v>
      </c>
      <c r="D74" s="82">
        <v>4</v>
      </c>
      <c r="E74" s="82">
        <v>5</v>
      </c>
      <c r="F74" s="83">
        <v>6</v>
      </c>
      <c r="G74" s="82">
        <v>7</v>
      </c>
      <c r="H74" s="82">
        <v>8</v>
      </c>
      <c r="I74" s="83">
        <v>9</v>
      </c>
      <c r="J74" s="82">
        <v>10</v>
      </c>
      <c r="K74" s="82">
        <v>11</v>
      </c>
      <c r="L74" s="83">
        <v>12</v>
      </c>
      <c r="M74" s="82">
        <v>13</v>
      </c>
      <c r="N74" s="82">
        <v>14</v>
      </c>
      <c r="O74" s="83">
        <v>15</v>
      </c>
      <c r="P74" s="82">
        <v>16</v>
      </c>
      <c r="Q74" s="82">
        <v>17</v>
      </c>
      <c r="R74" s="83">
        <v>18</v>
      </c>
      <c r="S74" s="82">
        <v>19</v>
      </c>
      <c r="T74" s="82">
        <v>20</v>
      </c>
      <c r="U74" s="83">
        <v>21</v>
      </c>
      <c r="V74" s="82">
        <v>22</v>
      </c>
      <c r="W74" s="82">
        <v>23</v>
      </c>
      <c r="X74" s="83">
        <v>24</v>
      </c>
      <c r="Y74" s="82">
        <v>25</v>
      </c>
      <c r="Z74" s="82">
        <v>26</v>
      </c>
      <c r="AA74" s="83">
        <v>27</v>
      </c>
      <c r="AB74" s="82">
        <v>28</v>
      </c>
      <c r="AC74" s="82">
        <v>29</v>
      </c>
      <c r="AD74" s="83">
        <v>30</v>
      </c>
      <c r="AE74" s="82">
        <v>31</v>
      </c>
      <c r="AF74" s="82">
        <v>32</v>
      </c>
      <c r="AG74" s="83">
        <v>33</v>
      </c>
      <c r="AH74" s="82">
        <v>34</v>
      </c>
      <c r="AI74" s="82">
        <v>35</v>
      </c>
      <c r="AJ74" s="82">
        <v>36</v>
      </c>
    </row>
    <row r="75" spans="1:36">
      <c r="A75" s="84">
        <v>1</v>
      </c>
      <c r="B75" s="85" t="s">
        <v>107</v>
      </c>
      <c r="C75" s="86">
        <v>1</v>
      </c>
      <c r="D75" s="86">
        <v>1</v>
      </c>
      <c r="E75" s="86">
        <v>1</v>
      </c>
      <c r="F75" s="86">
        <v>1</v>
      </c>
      <c r="G75" s="86">
        <v>7</v>
      </c>
      <c r="H75" s="86">
        <v>4</v>
      </c>
      <c r="I75" s="86">
        <v>2</v>
      </c>
      <c r="J75" s="86">
        <v>0</v>
      </c>
      <c r="K75" s="86">
        <v>1</v>
      </c>
      <c r="L75" s="86">
        <v>0</v>
      </c>
      <c r="M75" s="86">
        <v>0</v>
      </c>
      <c r="N75" s="86">
        <v>6</v>
      </c>
      <c r="O75" s="86">
        <v>3</v>
      </c>
      <c r="P75" s="86">
        <v>2</v>
      </c>
      <c r="Q75" s="87">
        <f>SUM(C75:P75)</f>
        <v>29</v>
      </c>
      <c r="R75" s="86">
        <v>0</v>
      </c>
      <c r="S75" s="86">
        <v>0</v>
      </c>
      <c r="T75" s="86">
        <v>0</v>
      </c>
      <c r="U75" s="86">
        <v>29</v>
      </c>
      <c r="V75" s="86">
        <v>29</v>
      </c>
      <c r="W75" s="86">
        <v>0</v>
      </c>
      <c r="X75" s="86">
        <v>27</v>
      </c>
      <c r="Y75" s="86">
        <v>27</v>
      </c>
      <c r="Z75" s="86">
        <v>29</v>
      </c>
      <c r="AA75" s="86">
        <v>24</v>
      </c>
      <c r="AB75" s="86">
        <v>0</v>
      </c>
      <c r="AC75" s="88">
        <v>0</v>
      </c>
      <c r="AD75" s="86">
        <v>28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6">
        <v>0</v>
      </c>
    </row>
    <row r="76" spans="1:36">
      <c r="A76" s="84">
        <v>2</v>
      </c>
      <c r="B76" s="85" t="s">
        <v>108</v>
      </c>
      <c r="C76" s="86">
        <v>0</v>
      </c>
      <c r="D76" s="86">
        <v>1</v>
      </c>
      <c r="E76" s="86">
        <v>0</v>
      </c>
      <c r="F76" s="86">
        <v>0</v>
      </c>
      <c r="G76" s="86">
        <v>3</v>
      </c>
      <c r="H76" s="86">
        <v>0</v>
      </c>
      <c r="I76" s="86">
        <v>1</v>
      </c>
      <c r="J76" s="86">
        <v>0</v>
      </c>
      <c r="K76" s="86">
        <v>2</v>
      </c>
      <c r="L76" s="86">
        <v>0</v>
      </c>
      <c r="M76" s="86">
        <v>0</v>
      </c>
      <c r="N76" s="86">
        <v>2</v>
      </c>
      <c r="O76" s="86">
        <v>2</v>
      </c>
      <c r="P76" s="86">
        <v>5</v>
      </c>
      <c r="Q76" s="87">
        <f t="shared" ref="Q76:Q80" si="26">SUM(C76:P76)</f>
        <v>16</v>
      </c>
      <c r="R76" s="86">
        <v>15</v>
      </c>
      <c r="S76" s="86">
        <v>1</v>
      </c>
      <c r="T76" s="86">
        <v>0</v>
      </c>
      <c r="U76" s="86">
        <v>0</v>
      </c>
      <c r="V76" s="86">
        <v>16</v>
      </c>
      <c r="W76" s="86">
        <v>0</v>
      </c>
      <c r="X76" s="86">
        <v>7</v>
      </c>
      <c r="Y76" s="86">
        <v>7</v>
      </c>
      <c r="Z76" s="86">
        <v>11</v>
      </c>
      <c r="AA76" s="86">
        <v>8</v>
      </c>
      <c r="AB76" s="86">
        <v>0</v>
      </c>
      <c r="AC76" s="88">
        <v>0</v>
      </c>
      <c r="AD76" s="86">
        <v>14</v>
      </c>
      <c r="AE76" s="86">
        <v>2</v>
      </c>
      <c r="AF76" s="86">
        <v>0</v>
      </c>
      <c r="AG76" s="86">
        <v>0</v>
      </c>
      <c r="AH76" s="86">
        <v>0</v>
      </c>
      <c r="AI76" s="86">
        <v>0</v>
      </c>
      <c r="AJ76" s="86">
        <v>0</v>
      </c>
    </row>
    <row r="77" spans="1:36">
      <c r="A77" s="84">
        <v>3</v>
      </c>
      <c r="B77" s="85" t="s">
        <v>119</v>
      </c>
      <c r="C77" s="86">
        <v>2</v>
      </c>
      <c r="D77" s="86">
        <v>1</v>
      </c>
      <c r="E77" s="86">
        <v>0</v>
      </c>
      <c r="F77" s="86">
        <v>1</v>
      </c>
      <c r="G77" s="86">
        <v>3</v>
      </c>
      <c r="H77" s="86">
        <v>3</v>
      </c>
      <c r="I77" s="86">
        <v>1</v>
      </c>
      <c r="J77" s="86">
        <v>1</v>
      </c>
      <c r="K77" s="86">
        <v>1</v>
      </c>
      <c r="L77" s="86">
        <v>2</v>
      </c>
      <c r="M77" s="86">
        <v>0</v>
      </c>
      <c r="N77" s="86">
        <v>2</v>
      </c>
      <c r="O77" s="86">
        <v>1</v>
      </c>
      <c r="P77" s="86">
        <v>0</v>
      </c>
      <c r="Q77" s="87">
        <f t="shared" si="26"/>
        <v>18</v>
      </c>
      <c r="R77" s="86">
        <v>0</v>
      </c>
      <c r="S77" s="86">
        <v>2</v>
      </c>
      <c r="T77" s="86">
        <v>0</v>
      </c>
      <c r="U77" s="86">
        <v>16</v>
      </c>
      <c r="V77" s="86">
        <v>18</v>
      </c>
      <c r="W77" s="86">
        <v>0</v>
      </c>
      <c r="X77" s="86">
        <v>10</v>
      </c>
      <c r="Y77" s="86">
        <v>10</v>
      </c>
      <c r="Z77" s="86">
        <v>17</v>
      </c>
      <c r="AA77" s="86">
        <v>15</v>
      </c>
      <c r="AB77" s="86">
        <v>0</v>
      </c>
      <c r="AC77" s="88">
        <v>0</v>
      </c>
      <c r="AD77" s="86">
        <v>15</v>
      </c>
      <c r="AE77" s="86">
        <v>3</v>
      </c>
      <c r="AF77" s="86">
        <v>0</v>
      </c>
      <c r="AG77" s="86">
        <v>0</v>
      </c>
      <c r="AH77" s="86">
        <v>0</v>
      </c>
      <c r="AI77" s="86">
        <v>0</v>
      </c>
      <c r="AJ77" s="86">
        <v>0</v>
      </c>
    </row>
    <row r="78" spans="1:36">
      <c r="A78" s="84">
        <v>4</v>
      </c>
      <c r="B78" s="85" t="s">
        <v>109</v>
      </c>
      <c r="C78" s="86">
        <v>3</v>
      </c>
      <c r="D78" s="86">
        <v>5</v>
      </c>
      <c r="E78" s="86">
        <v>2</v>
      </c>
      <c r="F78" s="86">
        <v>4</v>
      </c>
      <c r="G78" s="86">
        <v>3</v>
      </c>
      <c r="H78" s="86">
        <v>3</v>
      </c>
      <c r="I78" s="86">
        <v>3</v>
      </c>
      <c r="J78" s="86">
        <v>2</v>
      </c>
      <c r="K78" s="86">
        <v>1</v>
      </c>
      <c r="L78" s="86">
        <v>4</v>
      </c>
      <c r="M78" s="86">
        <v>0</v>
      </c>
      <c r="N78" s="86">
        <v>6</v>
      </c>
      <c r="O78" s="86">
        <v>1</v>
      </c>
      <c r="P78" s="86">
        <v>1</v>
      </c>
      <c r="Q78" s="87">
        <f t="shared" si="26"/>
        <v>38</v>
      </c>
      <c r="R78" s="86">
        <v>0</v>
      </c>
      <c r="S78" s="86">
        <v>0</v>
      </c>
      <c r="T78" s="86">
        <v>3</v>
      </c>
      <c r="U78" s="86">
        <v>35</v>
      </c>
      <c r="V78" s="86">
        <v>38</v>
      </c>
      <c r="W78" s="86">
        <v>0</v>
      </c>
      <c r="X78" s="86">
        <v>10</v>
      </c>
      <c r="Y78" s="86">
        <v>10</v>
      </c>
      <c r="Z78" s="86">
        <v>11</v>
      </c>
      <c r="AA78" s="86">
        <v>15</v>
      </c>
      <c r="AB78" s="86">
        <v>0</v>
      </c>
      <c r="AC78" s="88">
        <v>0</v>
      </c>
      <c r="AD78" s="86">
        <v>35</v>
      </c>
      <c r="AE78" s="86">
        <v>3</v>
      </c>
      <c r="AF78" s="86">
        <v>0</v>
      </c>
      <c r="AG78" s="86">
        <v>0</v>
      </c>
      <c r="AH78" s="86">
        <v>0</v>
      </c>
      <c r="AI78" s="86">
        <v>0</v>
      </c>
      <c r="AJ78" s="86">
        <v>0</v>
      </c>
    </row>
    <row r="79" spans="1:36">
      <c r="A79" s="84">
        <v>5</v>
      </c>
      <c r="B79" s="85" t="s">
        <v>110</v>
      </c>
      <c r="C79" s="86">
        <v>5</v>
      </c>
      <c r="D79" s="86">
        <v>10</v>
      </c>
      <c r="E79" s="86">
        <v>6</v>
      </c>
      <c r="F79" s="86">
        <v>1</v>
      </c>
      <c r="G79" s="86">
        <v>10</v>
      </c>
      <c r="H79" s="86">
        <v>3</v>
      </c>
      <c r="I79" s="86">
        <v>2</v>
      </c>
      <c r="J79" s="86">
        <v>0</v>
      </c>
      <c r="K79" s="86">
        <v>2</v>
      </c>
      <c r="L79" s="86">
        <v>3</v>
      </c>
      <c r="M79" s="86">
        <v>0</v>
      </c>
      <c r="N79" s="86">
        <v>5</v>
      </c>
      <c r="O79" s="86">
        <v>7</v>
      </c>
      <c r="P79" s="86">
        <v>2</v>
      </c>
      <c r="Q79" s="87">
        <f t="shared" si="26"/>
        <v>56</v>
      </c>
      <c r="R79" s="86">
        <v>11</v>
      </c>
      <c r="S79" s="86">
        <v>36</v>
      </c>
      <c r="T79" s="86">
        <v>0</v>
      </c>
      <c r="U79" s="86">
        <v>9</v>
      </c>
      <c r="V79" s="86">
        <v>56</v>
      </c>
      <c r="W79" s="86">
        <v>0</v>
      </c>
      <c r="X79" s="86">
        <v>44</v>
      </c>
      <c r="Y79" s="86">
        <v>44</v>
      </c>
      <c r="Z79" s="86">
        <v>16</v>
      </c>
      <c r="AA79" s="86">
        <v>11</v>
      </c>
      <c r="AB79" s="86">
        <v>0</v>
      </c>
      <c r="AC79" s="88">
        <v>0</v>
      </c>
      <c r="AD79" s="86">
        <v>52</v>
      </c>
      <c r="AE79" s="86">
        <v>4</v>
      </c>
      <c r="AF79" s="86">
        <v>0</v>
      </c>
      <c r="AG79" s="86">
        <v>0</v>
      </c>
      <c r="AH79" s="86">
        <v>0</v>
      </c>
      <c r="AI79" s="86">
        <v>0</v>
      </c>
      <c r="AJ79" s="86">
        <v>0</v>
      </c>
    </row>
    <row r="80" spans="1:36">
      <c r="A80" s="84">
        <v>6</v>
      </c>
      <c r="B80" s="85" t="s">
        <v>111</v>
      </c>
      <c r="C80" s="86">
        <v>0</v>
      </c>
      <c r="D80" s="86">
        <v>0</v>
      </c>
      <c r="E80" s="86">
        <v>2</v>
      </c>
      <c r="F80" s="86">
        <v>0</v>
      </c>
      <c r="G80" s="86">
        <v>2</v>
      </c>
      <c r="H80" s="86">
        <v>2</v>
      </c>
      <c r="I80" s="86">
        <v>0</v>
      </c>
      <c r="J80" s="86">
        <v>0</v>
      </c>
      <c r="K80" s="86">
        <v>1</v>
      </c>
      <c r="L80" s="86">
        <v>1</v>
      </c>
      <c r="M80" s="86">
        <v>0</v>
      </c>
      <c r="N80" s="86">
        <v>1</v>
      </c>
      <c r="O80" s="86">
        <v>1</v>
      </c>
      <c r="P80" s="86">
        <v>1</v>
      </c>
      <c r="Q80" s="87">
        <f t="shared" si="26"/>
        <v>11</v>
      </c>
      <c r="R80" s="86">
        <v>1</v>
      </c>
      <c r="S80" s="86">
        <v>10</v>
      </c>
      <c r="T80" s="86">
        <v>0</v>
      </c>
      <c r="U80" s="86">
        <v>0</v>
      </c>
      <c r="V80" s="86">
        <v>11</v>
      </c>
      <c r="W80" s="86">
        <v>0</v>
      </c>
      <c r="X80" s="86">
        <v>9</v>
      </c>
      <c r="Y80" s="86">
        <v>9</v>
      </c>
      <c r="Z80" s="86">
        <v>8</v>
      </c>
      <c r="AA80" s="86">
        <v>1</v>
      </c>
      <c r="AB80" s="86">
        <v>0</v>
      </c>
      <c r="AC80" s="88">
        <v>0</v>
      </c>
      <c r="AD80" s="86">
        <v>10</v>
      </c>
      <c r="AE80" s="86">
        <v>1</v>
      </c>
      <c r="AF80" s="86">
        <v>0</v>
      </c>
      <c r="AG80" s="86">
        <v>0</v>
      </c>
      <c r="AH80" s="86">
        <v>0</v>
      </c>
      <c r="AI80" s="86">
        <v>0</v>
      </c>
      <c r="AJ80" s="86">
        <v>0</v>
      </c>
    </row>
    <row r="81" spans="1:36">
      <c r="A81" s="84">
        <v>7</v>
      </c>
      <c r="B81" s="85" t="s">
        <v>112</v>
      </c>
      <c r="C81" s="86">
        <v>6</v>
      </c>
      <c r="D81" s="86">
        <v>7</v>
      </c>
      <c r="E81" s="86">
        <v>6</v>
      </c>
      <c r="F81" s="86">
        <v>2</v>
      </c>
      <c r="G81" s="86">
        <v>12</v>
      </c>
      <c r="H81" s="86">
        <v>1</v>
      </c>
      <c r="I81" s="86">
        <v>3</v>
      </c>
      <c r="J81" s="86">
        <v>7</v>
      </c>
      <c r="K81" s="86">
        <v>0</v>
      </c>
      <c r="L81" s="86">
        <v>2</v>
      </c>
      <c r="M81" s="86">
        <v>2</v>
      </c>
      <c r="N81" s="86">
        <v>6</v>
      </c>
      <c r="O81" s="86">
        <v>1</v>
      </c>
      <c r="P81" s="86">
        <v>4</v>
      </c>
      <c r="Q81" s="87">
        <v>59</v>
      </c>
      <c r="R81" s="86">
        <v>0</v>
      </c>
      <c r="S81" s="86">
        <v>3</v>
      </c>
      <c r="T81" s="86">
        <v>55</v>
      </c>
      <c r="U81" s="86">
        <v>59</v>
      </c>
      <c r="V81" s="86">
        <v>59</v>
      </c>
      <c r="W81" s="86">
        <v>0</v>
      </c>
      <c r="X81" s="86">
        <v>45</v>
      </c>
      <c r="Y81" s="86">
        <v>45</v>
      </c>
      <c r="Z81" s="86">
        <v>38</v>
      </c>
      <c r="AA81" s="86">
        <v>30</v>
      </c>
      <c r="AB81" s="86">
        <v>0</v>
      </c>
      <c r="AC81" s="88">
        <v>0</v>
      </c>
      <c r="AD81" s="86">
        <v>58</v>
      </c>
      <c r="AE81" s="86">
        <v>0</v>
      </c>
      <c r="AF81" s="86">
        <v>0</v>
      </c>
      <c r="AG81" s="86">
        <v>1</v>
      </c>
      <c r="AH81" s="86">
        <v>0</v>
      </c>
      <c r="AI81" s="86">
        <v>0</v>
      </c>
      <c r="AJ81" s="86">
        <v>0</v>
      </c>
    </row>
    <row r="82" spans="1:36">
      <c r="A82" s="84">
        <v>8</v>
      </c>
      <c r="B82" s="85" t="s">
        <v>113</v>
      </c>
      <c r="C82" s="86">
        <v>0</v>
      </c>
      <c r="D82" s="86">
        <v>1</v>
      </c>
      <c r="E82" s="86">
        <v>3</v>
      </c>
      <c r="F82" s="86">
        <v>3</v>
      </c>
      <c r="G82" s="86">
        <v>1</v>
      </c>
      <c r="H82" s="86">
        <v>1</v>
      </c>
      <c r="I82" s="86">
        <v>4</v>
      </c>
      <c r="J82" s="86">
        <v>0</v>
      </c>
      <c r="K82" s="86">
        <v>0</v>
      </c>
      <c r="L82" s="86">
        <v>1</v>
      </c>
      <c r="M82" s="86">
        <v>0</v>
      </c>
      <c r="N82" s="86">
        <v>0</v>
      </c>
      <c r="O82" s="86">
        <v>3</v>
      </c>
      <c r="P82" s="86">
        <v>3</v>
      </c>
      <c r="Q82" s="87">
        <f t="shared" ref="Q82:Q88" si="27">SUM(C82:P82)</f>
        <v>20</v>
      </c>
      <c r="R82" s="86">
        <v>20</v>
      </c>
      <c r="S82" s="86">
        <v>0</v>
      </c>
      <c r="T82" s="86">
        <v>0</v>
      </c>
      <c r="U82" s="86">
        <v>0</v>
      </c>
      <c r="V82" s="86">
        <v>20</v>
      </c>
      <c r="W82" s="86">
        <v>0</v>
      </c>
      <c r="X82" s="86">
        <v>13</v>
      </c>
      <c r="Y82" s="86">
        <v>13</v>
      </c>
      <c r="Z82" s="86">
        <v>10</v>
      </c>
      <c r="AA82" s="86">
        <v>1</v>
      </c>
      <c r="AB82" s="86">
        <v>0</v>
      </c>
      <c r="AC82" s="88">
        <v>0</v>
      </c>
      <c r="AD82" s="86">
        <v>20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6">
        <v>0</v>
      </c>
    </row>
    <row r="83" spans="1:36">
      <c r="A83" s="84">
        <v>9</v>
      </c>
      <c r="B83" s="85" t="s">
        <v>114</v>
      </c>
      <c r="C83" s="86">
        <v>2</v>
      </c>
      <c r="D83" s="86">
        <v>3</v>
      </c>
      <c r="E83" s="86">
        <v>1</v>
      </c>
      <c r="F83" s="86">
        <v>1</v>
      </c>
      <c r="G83" s="86">
        <v>7</v>
      </c>
      <c r="H83" s="86">
        <v>1</v>
      </c>
      <c r="I83" s="86">
        <v>1</v>
      </c>
      <c r="J83" s="86">
        <v>1</v>
      </c>
      <c r="K83" s="86">
        <v>0</v>
      </c>
      <c r="L83" s="86">
        <v>2</v>
      </c>
      <c r="M83" s="86">
        <v>1</v>
      </c>
      <c r="N83" s="86">
        <v>3</v>
      </c>
      <c r="O83" s="86">
        <v>1</v>
      </c>
      <c r="P83" s="86">
        <v>3</v>
      </c>
      <c r="Q83" s="87">
        <f t="shared" si="27"/>
        <v>27</v>
      </c>
      <c r="R83" s="86">
        <v>0</v>
      </c>
      <c r="S83" s="86">
        <v>0</v>
      </c>
      <c r="T83" s="86">
        <v>1</v>
      </c>
      <c r="U83" s="86">
        <v>26</v>
      </c>
      <c r="V83" s="86">
        <v>27</v>
      </c>
      <c r="W83" s="86">
        <v>0</v>
      </c>
      <c r="X83" s="86">
        <v>9</v>
      </c>
      <c r="Y83" s="86">
        <v>9</v>
      </c>
      <c r="Z83" s="86">
        <v>5</v>
      </c>
      <c r="AA83" s="86">
        <v>4</v>
      </c>
      <c r="AB83" s="86">
        <v>0</v>
      </c>
      <c r="AC83" s="88">
        <v>0</v>
      </c>
      <c r="AD83" s="86">
        <v>25</v>
      </c>
      <c r="AE83" s="86">
        <v>2</v>
      </c>
      <c r="AF83" s="86">
        <v>0</v>
      </c>
      <c r="AG83" s="86">
        <v>0</v>
      </c>
      <c r="AH83" s="86">
        <v>4</v>
      </c>
      <c r="AI83" s="86">
        <v>3</v>
      </c>
      <c r="AJ83" s="86">
        <v>0</v>
      </c>
    </row>
    <row r="84" spans="1:36">
      <c r="A84" s="84">
        <v>10</v>
      </c>
      <c r="B84" s="85" t="s">
        <v>115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1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7">
        <f t="shared" si="27"/>
        <v>1</v>
      </c>
      <c r="R84" s="86">
        <v>0</v>
      </c>
      <c r="S84" s="86">
        <v>0</v>
      </c>
      <c r="T84" s="86">
        <v>0</v>
      </c>
      <c r="U84" s="86">
        <v>1</v>
      </c>
      <c r="V84" s="86">
        <v>1</v>
      </c>
      <c r="W84" s="86">
        <v>0</v>
      </c>
      <c r="X84" s="86">
        <v>1</v>
      </c>
      <c r="Y84" s="86">
        <v>1</v>
      </c>
      <c r="Z84" s="86">
        <v>2</v>
      </c>
      <c r="AA84" s="86">
        <v>5</v>
      </c>
      <c r="AB84" s="86">
        <v>0</v>
      </c>
      <c r="AC84" s="88">
        <v>0</v>
      </c>
      <c r="AD84" s="86">
        <v>0</v>
      </c>
      <c r="AE84" s="86">
        <v>1</v>
      </c>
      <c r="AF84" s="86">
        <v>0</v>
      </c>
      <c r="AG84" s="86">
        <v>0</v>
      </c>
      <c r="AH84" s="86">
        <v>0</v>
      </c>
      <c r="AI84" s="86">
        <v>0</v>
      </c>
      <c r="AJ84" s="86">
        <v>0</v>
      </c>
    </row>
    <row r="85" spans="1:36">
      <c r="A85" s="84">
        <v>11</v>
      </c>
      <c r="B85" s="85" t="s">
        <v>116</v>
      </c>
      <c r="C85" s="86">
        <v>2</v>
      </c>
      <c r="D85" s="86">
        <v>2</v>
      </c>
      <c r="E85" s="86">
        <v>0</v>
      </c>
      <c r="F85" s="86">
        <v>1</v>
      </c>
      <c r="G85" s="86">
        <v>3</v>
      </c>
      <c r="H85" s="86">
        <v>2</v>
      </c>
      <c r="I85" s="86">
        <v>1</v>
      </c>
      <c r="J85" s="86">
        <v>0</v>
      </c>
      <c r="K85" s="86">
        <v>0</v>
      </c>
      <c r="L85" s="86">
        <v>0</v>
      </c>
      <c r="M85" s="86">
        <v>0</v>
      </c>
      <c r="N85" s="86">
        <v>5</v>
      </c>
      <c r="O85" s="86">
        <v>2</v>
      </c>
      <c r="P85" s="86">
        <v>0</v>
      </c>
      <c r="Q85" s="87">
        <f t="shared" si="27"/>
        <v>18</v>
      </c>
      <c r="R85" s="86">
        <v>18</v>
      </c>
      <c r="S85" s="86">
        <v>0</v>
      </c>
      <c r="T85" s="86">
        <v>0</v>
      </c>
      <c r="U85" s="86">
        <v>0</v>
      </c>
      <c r="V85" s="86">
        <v>16</v>
      </c>
      <c r="W85" s="86">
        <v>0</v>
      </c>
      <c r="X85" s="86">
        <v>13</v>
      </c>
      <c r="Y85" s="86">
        <v>13</v>
      </c>
      <c r="Z85" s="86">
        <v>8</v>
      </c>
      <c r="AA85" s="86">
        <v>7</v>
      </c>
      <c r="AB85" s="86">
        <v>0</v>
      </c>
      <c r="AC85" s="88">
        <v>0</v>
      </c>
      <c r="AD85" s="86">
        <v>15</v>
      </c>
      <c r="AE85" s="86">
        <v>3</v>
      </c>
      <c r="AF85" s="86">
        <v>0</v>
      </c>
      <c r="AG85" s="86">
        <v>0</v>
      </c>
      <c r="AH85" s="86">
        <v>0</v>
      </c>
      <c r="AI85" s="86">
        <v>0</v>
      </c>
      <c r="AJ85" s="86">
        <v>0</v>
      </c>
    </row>
    <row r="86" spans="1:36">
      <c r="A86" s="84">
        <v>12</v>
      </c>
      <c r="B86" s="85" t="s">
        <v>117</v>
      </c>
      <c r="C86" s="86">
        <v>3</v>
      </c>
      <c r="D86" s="86">
        <v>1</v>
      </c>
      <c r="E86" s="86">
        <v>0</v>
      </c>
      <c r="F86" s="86">
        <v>0</v>
      </c>
      <c r="G86" s="86">
        <v>5</v>
      </c>
      <c r="H86" s="86">
        <v>1</v>
      </c>
      <c r="I86" s="86">
        <v>1</v>
      </c>
      <c r="J86" s="86">
        <v>0</v>
      </c>
      <c r="K86" s="86">
        <v>2</v>
      </c>
      <c r="L86" s="86">
        <v>2</v>
      </c>
      <c r="M86" s="86">
        <v>0</v>
      </c>
      <c r="N86" s="86">
        <v>2</v>
      </c>
      <c r="O86" s="86">
        <v>2</v>
      </c>
      <c r="P86" s="86">
        <v>0</v>
      </c>
      <c r="Q86" s="87">
        <f t="shared" si="27"/>
        <v>19</v>
      </c>
      <c r="R86" s="86">
        <v>0</v>
      </c>
      <c r="S86" s="86">
        <v>0</v>
      </c>
      <c r="T86" s="86">
        <v>1</v>
      </c>
      <c r="U86" s="86">
        <v>17</v>
      </c>
      <c r="V86" s="86">
        <v>19</v>
      </c>
      <c r="W86" s="86">
        <v>0</v>
      </c>
      <c r="X86" s="86">
        <v>14</v>
      </c>
      <c r="Y86" s="86">
        <v>14</v>
      </c>
      <c r="Z86" s="86">
        <v>14</v>
      </c>
      <c r="AA86" s="86">
        <v>14</v>
      </c>
      <c r="AB86" s="86">
        <v>0</v>
      </c>
      <c r="AC86" s="88">
        <v>0</v>
      </c>
      <c r="AD86" s="86">
        <v>19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6">
        <v>0</v>
      </c>
    </row>
    <row r="87" spans="1:36">
      <c r="A87" s="84">
        <v>13</v>
      </c>
      <c r="B87" s="85" t="s">
        <v>118</v>
      </c>
      <c r="C87" s="86">
        <v>0</v>
      </c>
      <c r="D87" s="86">
        <v>0</v>
      </c>
      <c r="E87" s="86">
        <v>1</v>
      </c>
      <c r="F87" s="86">
        <v>1</v>
      </c>
      <c r="G87" s="86">
        <v>0</v>
      </c>
      <c r="H87" s="86">
        <v>0</v>
      </c>
      <c r="I87" s="86">
        <v>1</v>
      </c>
      <c r="J87" s="86">
        <v>0</v>
      </c>
      <c r="K87" s="86">
        <v>0</v>
      </c>
      <c r="L87" s="86">
        <v>0</v>
      </c>
      <c r="M87" s="86">
        <v>0</v>
      </c>
      <c r="N87" s="86">
        <v>0</v>
      </c>
      <c r="O87" s="86">
        <v>0</v>
      </c>
      <c r="P87" s="86">
        <v>0</v>
      </c>
      <c r="Q87" s="87">
        <f t="shared" si="27"/>
        <v>3</v>
      </c>
      <c r="R87" s="86">
        <v>3</v>
      </c>
      <c r="S87" s="86">
        <v>0</v>
      </c>
      <c r="T87" s="86">
        <v>0</v>
      </c>
      <c r="U87" s="86">
        <v>3</v>
      </c>
      <c r="V87" s="86">
        <v>3</v>
      </c>
      <c r="W87" s="86">
        <v>0</v>
      </c>
      <c r="X87" s="86">
        <v>0</v>
      </c>
      <c r="Y87" s="86">
        <v>0</v>
      </c>
      <c r="Z87" s="86">
        <v>0</v>
      </c>
      <c r="AA87" s="86">
        <v>0</v>
      </c>
      <c r="AB87" s="86">
        <v>1</v>
      </c>
      <c r="AC87" s="88">
        <v>0</v>
      </c>
      <c r="AD87" s="86">
        <v>3</v>
      </c>
      <c r="AE87" s="86">
        <v>0</v>
      </c>
      <c r="AF87" s="86">
        <v>0</v>
      </c>
      <c r="AG87" s="86">
        <v>0</v>
      </c>
      <c r="AH87" s="86">
        <v>3</v>
      </c>
      <c r="AI87" s="86">
        <v>0</v>
      </c>
      <c r="AJ87" s="86">
        <v>0</v>
      </c>
    </row>
    <row r="88" spans="1:36">
      <c r="A88" s="91" t="s">
        <v>31</v>
      </c>
      <c r="B88" s="92"/>
      <c r="C88" s="89">
        <f>SUM(C75:C87)</f>
        <v>24</v>
      </c>
      <c r="D88" s="89">
        <f t="shared" ref="D88:M88" si="28">SUM(D75:D87)</f>
        <v>32</v>
      </c>
      <c r="E88" s="89">
        <f t="shared" si="28"/>
        <v>22</v>
      </c>
      <c r="F88" s="89">
        <f t="shared" si="28"/>
        <v>15</v>
      </c>
      <c r="G88" s="89">
        <f t="shared" si="28"/>
        <v>56</v>
      </c>
      <c r="H88" s="89">
        <f t="shared" si="28"/>
        <v>22</v>
      </c>
      <c r="I88" s="89">
        <f t="shared" si="28"/>
        <v>20</v>
      </c>
      <c r="J88" s="89">
        <f t="shared" si="28"/>
        <v>11</v>
      </c>
      <c r="K88" s="89">
        <f t="shared" si="28"/>
        <v>10</v>
      </c>
      <c r="L88" s="89">
        <f t="shared" si="28"/>
        <v>17</v>
      </c>
      <c r="M88" s="89">
        <f t="shared" si="28"/>
        <v>3</v>
      </c>
      <c r="N88" s="89">
        <f>SUM(N75:N87)</f>
        <v>38</v>
      </c>
      <c r="O88" s="89">
        <f t="shared" ref="O88:P88" si="29">SUM(O75:O87)</f>
        <v>24</v>
      </c>
      <c r="P88" s="89">
        <f t="shared" si="29"/>
        <v>21</v>
      </c>
      <c r="Q88" s="87">
        <f t="shared" si="27"/>
        <v>315</v>
      </c>
      <c r="R88" s="89">
        <f t="shared" ref="R88:AB88" si="30">SUM(R75:R87)</f>
        <v>68</v>
      </c>
      <c r="S88" s="89">
        <f t="shared" si="30"/>
        <v>52</v>
      </c>
      <c r="T88" s="89">
        <f t="shared" si="30"/>
        <v>60</v>
      </c>
      <c r="U88" s="89">
        <f t="shared" si="30"/>
        <v>195</v>
      </c>
      <c r="V88" s="89">
        <f t="shared" si="30"/>
        <v>313</v>
      </c>
      <c r="W88" s="89">
        <f t="shared" si="30"/>
        <v>0</v>
      </c>
      <c r="X88" s="89">
        <f t="shared" si="30"/>
        <v>202</v>
      </c>
      <c r="Y88" s="89">
        <f t="shared" si="30"/>
        <v>202</v>
      </c>
      <c r="Z88" s="89">
        <f t="shared" si="30"/>
        <v>169</v>
      </c>
      <c r="AA88" s="89">
        <f t="shared" si="30"/>
        <v>135</v>
      </c>
      <c r="AB88" s="89">
        <f t="shared" si="30"/>
        <v>1</v>
      </c>
      <c r="AC88" s="90">
        <v>0</v>
      </c>
      <c r="AD88" s="89">
        <f t="shared" ref="AD88:AJ88" si="31">SUM(AD75:AD87)</f>
        <v>294</v>
      </c>
      <c r="AE88" s="89">
        <f t="shared" si="31"/>
        <v>19</v>
      </c>
      <c r="AF88" s="89">
        <f t="shared" si="31"/>
        <v>0</v>
      </c>
      <c r="AG88" s="89">
        <f t="shared" si="31"/>
        <v>1</v>
      </c>
      <c r="AH88" s="89">
        <f t="shared" si="31"/>
        <v>7</v>
      </c>
      <c r="AI88" s="89">
        <f t="shared" si="31"/>
        <v>3</v>
      </c>
      <c r="AJ88" s="89">
        <f t="shared" si="31"/>
        <v>0</v>
      </c>
    </row>
    <row r="97" spans="1:36" ht="20.25">
      <c r="A97" s="139" t="s">
        <v>0</v>
      </c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</row>
    <row r="99" spans="1:36">
      <c r="A99" s="140" t="s">
        <v>38</v>
      </c>
      <c r="B99" s="140"/>
      <c r="C99" s="72" t="s">
        <v>40</v>
      </c>
      <c r="D99" s="72" t="s">
        <v>104</v>
      </c>
    </row>
    <row r="100" spans="1:36">
      <c r="A100" s="140" t="s">
        <v>1</v>
      </c>
      <c r="B100" s="140"/>
      <c r="C100" s="72" t="s">
        <v>122</v>
      </c>
    </row>
    <row r="101" spans="1:36">
      <c r="A101" s="73" t="s">
        <v>2</v>
      </c>
      <c r="B101" s="73"/>
      <c r="D101" s="74">
        <v>2025</v>
      </c>
    </row>
    <row r="102" spans="1:36">
      <c r="A102" s="126" t="s">
        <v>3</v>
      </c>
      <c r="B102" s="126" t="s">
        <v>106</v>
      </c>
      <c r="C102" s="136" t="s">
        <v>4</v>
      </c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8"/>
      <c r="Q102" s="142" t="s">
        <v>5</v>
      </c>
      <c r="R102" s="129" t="s">
        <v>32</v>
      </c>
      <c r="S102" s="130"/>
      <c r="T102" s="130"/>
      <c r="U102" s="131"/>
      <c r="V102" s="136" t="s">
        <v>6</v>
      </c>
      <c r="W102" s="137"/>
      <c r="X102" s="137"/>
      <c r="Y102" s="137"/>
      <c r="Z102" s="137"/>
      <c r="AA102" s="138"/>
      <c r="AB102" s="126" t="s">
        <v>7</v>
      </c>
      <c r="AC102" s="141" t="s">
        <v>8</v>
      </c>
      <c r="AD102" s="136" t="s">
        <v>9</v>
      </c>
      <c r="AE102" s="137"/>
      <c r="AF102" s="137"/>
      <c r="AG102" s="138"/>
      <c r="AH102" s="142" t="s">
        <v>10</v>
      </c>
      <c r="AI102" s="142" t="s">
        <v>11</v>
      </c>
      <c r="AJ102" s="145" t="s">
        <v>12</v>
      </c>
    </row>
    <row r="103" spans="1:36">
      <c r="A103" s="127"/>
      <c r="B103" s="127"/>
      <c r="C103" s="136" t="s">
        <v>13</v>
      </c>
      <c r="D103" s="137"/>
      <c r="E103" s="137"/>
      <c r="F103" s="137"/>
      <c r="G103" s="137"/>
      <c r="H103" s="137"/>
      <c r="I103" s="138"/>
      <c r="J103" s="136" t="s">
        <v>14</v>
      </c>
      <c r="K103" s="137"/>
      <c r="L103" s="137"/>
      <c r="M103" s="137"/>
      <c r="N103" s="137"/>
      <c r="O103" s="137"/>
      <c r="P103" s="138"/>
      <c r="Q103" s="144"/>
      <c r="R103" s="132" t="s">
        <v>35</v>
      </c>
      <c r="S103" s="132" t="s">
        <v>36</v>
      </c>
      <c r="T103" s="134" t="s">
        <v>37</v>
      </c>
      <c r="U103" s="135"/>
      <c r="V103" s="146" t="s">
        <v>15</v>
      </c>
      <c r="W103" s="147"/>
      <c r="X103" s="145" t="s">
        <v>16</v>
      </c>
      <c r="Y103" s="145"/>
      <c r="Z103" s="75" t="s">
        <v>17</v>
      </c>
      <c r="AA103" s="75" t="s">
        <v>18</v>
      </c>
      <c r="AB103" s="127"/>
      <c r="AC103" s="141"/>
      <c r="AD103" s="126" t="s">
        <v>19</v>
      </c>
      <c r="AE103" s="126" t="s">
        <v>20</v>
      </c>
      <c r="AF103" s="126" t="s">
        <v>21</v>
      </c>
      <c r="AG103" s="142" t="s">
        <v>22</v>
      </c>
      <c r="AH103" s="144"/>
      <c r="AI103" s="144"/>
      <c r="AJ103" s="145"/>
    </row>
    <row r="104" spans="1:36" ht="22.5">
      <c r="A104" s="128"/>
      <c r="B104" s="128"/>
      <c r="C104" s="75" t="s">
        <v>23</v>
      </c>
      <c r="D104" s="76" t="s">
        <v>24</v>
      </c>
      <c r="E104" s="77" t="s">
        <v>25</v>
      </c>
      <c r="F104" s="78" t="s">
        <v>26</v>
      </c>
      <c r="G104" s="78" t="s">
        <v>27</v>
      </c>
      <c r="H104" s="78" t="s">
        <v>28</v>
      </c>
      <c r="I104" s="75" t="s">
        <v>29</v>
      </c>
      <c r="J104" s="75" t="s">
        <v>23</v>
      </c>
      <c r="K104" s="76" t="s">
        <v>24</v>
      </c>
      <c r="L104" s="77" t="s">
        <v>25</v>
      </c>
      <c r="M104" s="78" t="s">
        <v>26</v>
      </c>
      <c r="N104" s="78" t="s">
        <v>27</v>
      </c>
      <c r="O104" s="78" t="s">
        <v>28</v>
      </c>
      <c r="P104" s="75" t="s">
        <v>29</v>
      </c>
      <c r="Q104" s="143"/>
      <c r="R104" s="133"/>
      <c r="S104" s="133"/>
      <c r="T104" s="79" t="s">
        <v>33</v>
      </c>
      <c r="U104" s="79" t="s">
        <v>34</v>
      </c>
      <c r="V104" s="80" t="s">
        <v>42</v>
      </c>
      <c r="W104" s="80" t="s">
        <v>41</v>
      </c>
      <c r="X104" s="75" t="s">
        <v>30</v>
      </c>
      <c r="Y104" s="75" t="s">
        <v>30</v>
      </c>
      <c r="Z104" s="75" t="s">
        <v>30</v>
      </c>
      <c r="AA104" s="75" t="s">
        <v>30</v>
      </c>
      <c r="AB104" s="128"/>
      <c r="AC104" s="141"/>
      <c r="AD104" s="128"/>
      <c r="AE104" s="128"/>
      <c r="AF104" s="128"/>
      <c r="AG104" s="143"/>
      <c r="AH104" s="143"/>
      <c r="AI104" s="143"/>
      <c r="AJ104" s="145"/>
    </row>
    <row r="105" spans="1:36">
      <c r="A105" s="82">
        <v>1</v>
      </c>
      <c r="B105" s="82">
        <v>2</v>
      </c>
      <c r="C105" s="83">
        <v>3</v>
      </c>
      <c r="D105" s="82">
        <v>4</v>
      </c>
      <c r="E105" s="82">
        <v>5</v>
      </c>
      <c r="F105" s="83">
        <v>6</v>
      </c>
      <c r="G105" s="82">
        <v>7</v>
      </c>
      <c r="H105" s="82">
        <v>8</v>
      </c>
      <c r="I105" s="83">
        <v>9</v>
      </c>
      <c r="J105" s="82">
        <v>10</v>
      </c>
      <c r="K105" s="82">
        <v>11</v>
      </c>
      <c r="L105" s="83">
        <v>12</v>
      </c>
      <c r="M105" s="82">
        <v>13</v>
      </c>
      <c r="N105" s="82">
        <v>14</v>
      </c>
      <c r="O105" s="83">
        <v>15</v>
      </c>
      <c r="P105" s="82">
        <v>16</v>
      </c>
      <c r="Q105" s="82">
        <v>17</v>
      </c>
      <c r="R105" s="83">
        <v>18</v>
      </c>
      <c r="S105" s="82">
        <v>19</v>
      </c>
      <c r="T105" s="82">
        <v>20</v>
      </c>
      <c r="U105" s="83">
        <v>21</v>
      </c>
      <c r="V105" s="82">
        <v>22</v>
      </c>
      <c r="W105" s="82">
        <v>23</v>
      </c>
      <c r="X105" s="83">
        <v>24</v>
      </c>
      <c r="Y105" s="82">
        <v>25</v>
      </c>
      <c r="Z105" s="82">
        <v>26</v>
      </c>
      <c r="AA105" s="83">
        <v>27</v>
      </c>
      <c r="AB105" s="82">
        <v>28</v>
      </c>
      <c r="AC105" s="82">
        <v>29</v>
      </c>
      <c r="AD105" s="83">
        <v>30</v>
      </c>
      <c r="AE105" s="82">
        <v>31</v>
      </c>
      <c r="AF105" s="82">
        <v>32</v>
      </c>
      <c r="AG105" s="83">
        <v>33</v>
      </c>
      <c r="AH105" s="82">
        <v>34</v>
      </c>
      <c r="AI105" s="82">
        <v>35</v>
      </c>
      <c r="AJ105" s="82">
        <v>36</v>
      </c>
    </row>
    <row r="106" spans="1:36">
      <c r="A106" s="84">
        <v>1</v>
      </c>
      <c r="B106" s="85" t="s">
        <v>107</v>
      </c>
      <c r="C106" s="86">
        <v>3</v>
      </c>
      <c r="D106" s="86">
        <v>1</v>
      </c>
      <c r="E106" s="86">
        <v>1</v>
      </c>
      <c r="F106" s="86">
        <v>0</v>
      </c>
      <c r="G106" s="86">
        <v>1</v>
      </c>
      <c r="H106" s="86">
        <v>3</v>
      </c>
      <c r="I106" s="86">
        <v>2</v>
      </c>
      <c r="J106" s="86">
        <v>1</v>
      </c>
      <c r="K106" s="86">
        <v>0</v>
      </c>
      <c r="L106" s="86">
        <v>1</v>
      </c>
      <c r="M106" s="86">
        <v>3</v>
      </c>
      <c r="N106" s="86">
        <v>10</v>
      </c>
      <c r="O106" s="86">
        <v>4</v>
      </c>
      <c r="P106" s="86">
        <v>3</v>
      </c>
      <c r="Q106" s="87">
        <f>SUM(C106:P106)</f>
        <v>33</v>
      </c>
      <c r="R106" s="86">
        <v>6</v>
      </c>
      <c r="S106" s="86">
        <v>0</v>
      </c>
      <c r="T106" s="86">
        <v>27</v>
      </c>
      <c r="U106" s="86">
        <v>0</v>
      </c>
      <c r="V106" s="86">
        <v>33</v>
      </c>
      <c r="W106" s="86">
        <v>0</v>
      </c>
      <c r="X106" s="86">
        <v>27</v>
      </c>
      <c r="Y106" s="86">
        <v>27</v>
      </c>
      <c r="Z106" s="86">
        <v>29</v>
      </c>
      <c r="AA106" s="86">
        <v>14</v>
      </c>
      <c r="AB106" s="86">
        <v>0</v>
      </c>
      <c r="AC106" s="88">
        <v>0</v>
      </c>
      <c r="AD106" s="86">
        <v>32</v>
      </c>
      <c r="AE106" s="86">
        <v>1</v>
      </c>
      <c r="AF106" s="86">
        <v>0</v>
      </c>
      <c r="AG106" s="86">
        <v>0</v>
      </c>
      <c r="AH106" s="86">
        <v>1</v>
      </c>
      <c r="AI106" s="86">
        <v>0</v>
      </c>
      <c r="AJ106" s="86">
        <v>0</v>
      </c>
    </row>
    <row r="107" spans="1:36">
      <c r="A107" s="84">
        <v>2</v>
      </c>
      <c r="B107" s="85" t="s">
        <v>108</v>
      </c>
      <c r="C107" s="86">
        <v>1</v>
      </c>
      <c r="D107" s="86">
        <v>1</v>
      </c>
      <c r="E107" s="86">
        <v>2</v>
      </c>
      <c r="F107" s="86">
        <v>0</v>
      </c>
      <c r="G107" s="86">
        <v>1</v>
      </c>
      <c r="H107" s="86">
        <v>3</v>
      </c>
      <c r="I107" s="86">
        <v>2</v>
      </c>
      <c r="J107" s="86">
        <v>1</v>
      </c>
      <c r="K107" s="86">
        <v>2</v>
      </c>
      <c r="L107" s="86">
        <v>0</v>
      </c>
      <c r="M107" s="86">
        <v>0</v>
      </c>
      <c r="N107" s="86">
        <v>3</v>
      </c>
      <c r="O107" s="86">
        <v>3</v>
      </c>
      <c r="P107" s="86">
        <v>0</v>
      </c>
      <c r="Q107" s="87">
        <f t="shared" ref="Q107:Q113" si="32">SUM(C107:P107)</f>
        <v>19</v>
      </c>
      <c r="R107" s="86">
        <v>0</v>
      </c>
      <c r="S107" s="86">
        <v>16</v>
      </c>
      <c r="T107" s="86">
        <v>0</v>
      </c>
      <c r="U107" s="86">
        <v>3</v>
      </c>
      <c r="V107" s="86">
        <v>19</v>
      </c>
      <c r="W107" s="86">
        <v>0</v>
      </c>
      <c r="X107" s="86">
        <v>14</v>
      </c>
      <c r="Y107" s="86">
        <v>14</v>
      </c>
      <c r="Z107" s="86">
        <v>14</v>
      </c>
      <c r="AA107" s="86">
        <v>5</v>
      </c>
      <c r="AB107" s="86">
        <v>0</v>
      </c>
      <c r="AC107" s="88">
        <v>0</v>
      </c>
      <c r="AD107" s="86">
        <v>17</v>
      </c>
      <c r="AE107" s="86">
        <v>2</v>
      </c>
      <c r="AF107" s="86">
        <v>0</v>
      </c>
      <c r="AG107" s="86">
        <v>0</v>
      </c>
      <c r="AH107" s="86">
        <v>3</v>
      </c>
      <c r="AI107" s="86">
        <v>1</v>
      </c>
      <c r="AJ107" s="86">
        <v>0</v>
      </c>
    </row>
    <row r="108" spans="1:36">
      <c r="A108" s="84">
        <v>3</v>
      </c>
      <c r="B108" s="85" t="s">
        <v>119</v>
      </c>
      <c r="C108" s="86">
        <v>2</v>
      </c>
      <c r="D108" s="86">
        <v>0</v>
      </c>
      <c r="E108" s="86">
        <v>0</v>
      </c>
      <c r="F108" s="86">
        <v>1</v>
      </c>
      <c r="G108" s="86">
        <v>3</v>
      </c>
      <c r="H108" s="86">
        <v>2</v>
      </c>
      <c r="I108" s="86">
        <v>0</v>
      </c>
      <c r="J108" s="86">
        <v>2</v>
      </c>
      <c r="K108" s="86">
        <v>2</v>
      </c>
      <c r="L108" s="86">
        <v>0</v>
      </c>
      <c r="M108" s="86">
        <v>1</v>
      </c>
      <c r="N108" s="86">
        <v>5</v>
      </c>
      <c r="O108" s="86">
        <v>5</v>
      </c>
      <c r="P108" s="86">
        <v>1</v>
      </c>
      <c r="Q108" s="87">
        <f t="shared" si="32"/>
        <v>24</v>
      </c>
      <c r="R108" s="86">
        <v>1</v>
      </c>
      <c r="S108" s="86">
        <v>0</v>
      </c>
      <c r="T108" s="86">
        <v>0</v>
      </c>
      <c r="U108" s="86">
        <v>23</v>
      </c>
      <c r="V108" s="86">
        <v>24</v>
      </c>
      <c r="W108" s="86">
        <v>0</v>
      </c>
      <c r="X108" s="86">
        <v>20</v>
      </c>
      <c r="Y108" s="86">
        <v>20</v>
      </c>
      <c r="Z108" s="86">
        <v>29</v>
      </c>
      <c r="AA108" s="86">
        <v>14</v>
      </c>
      <c r="AB108" s="86">
        <v>0</v>
      </c>
      <c r="AC108" s="88">
        <v>0</v>
      </c>
      <c r="AD108" s="86">
        <v>19</v>
      </c>
      <c r="AE108" s="86">
        <v>5</v>
      </c>
      <c r="AF108" s="86">
        <v>0</v>
      </c>
      <c r="AG108" s="86">
        <v>0</v>
      </c>
      <c r="AH108" s="86">
        <v>0</v>
      </c>
      <c r="AI108" s="86">
        <v>0</v>
      </c>
      <c r="AJ108" s="86">
        <v>0</v>
      </c>
    </row>
    <row r="109" spans="1:36">
      <c r="A109" s="84">
        <v>4</v>
      </c>
      <c r="B109" s="85" t="s">
        <v>109</v>
      </c>
      <c r="C109" s="86">
        <v>1</v>
      </c>
      <c r="D109" s="86">
        <v>6</v>
      </c>
      <c r="E109" s="86">
        <v>3</v>
      </c>
      <c r="F109" s="86">
        <v>2</v>
      </c>
      <c r="G109" s="86">
        <v>3</v>
      </c>
      <c r="H109" s="86">
        <v>7</v>
      </c>
      <c r="I109" s="86">
        <v>0</v>
      </c>
      <c r="J109" s="86">
        <v>0</v>
      </c>
      <c r="K109" s="86">
        <v>4</v>
      </c>
      <c r="L109" s="86">
        <v>2</v>
      </c>
      <c r="M109" s="86">
        <v>3</v>
      </c>
      <c r="N109" s="86">
        <v>7</v>
      </c>
      <c r="O109" s="86">
        <v>2</v>
      </c>
      <c r="P109" s="86">
        <v>4</v>
      </c>
      <c r="Q109" s="87">
        <f t="shared" si="32"/>
        <v>44</v>
      </c>
      <c r="R109" s="86">
        <v>0</v>
      </c>
      <c r="S109" s="86">
        <v>0</v>
      </c>
      <c r="T109" s="86">
        <v>3</v>
      </c>
      <c r="U109" s="86">
        <v>41</v>
      </c>
      <c r="V109" s="86">
        <v>44</v>
      </c>
      <c r="W109" s="86">
        <v>0</v>
      </c>
      <c r="X109" s="86">
        <v>18</v>
      </c>
      <c r="Y109" s="86">
        <v>18</v>
      </c>
      <c r="Z109" s="86">
        <v>16</v>
      </c>
      <c r="AA109" s="86">
        <v>15</v>
      </c>
      <c r="AB109" s="86">
        <v>0</v>
      </c>
      <c r="AC109" s="88">
        <v>0</v>
      </c>
      <c r="AD109" s="86">
        <v>41</v>
      </c>
      <c r="AE109" s="86">
        <v>3</v>
      </c>
      <c r="AF109" s="86">
        <v>0</v>
      </c>
      <c r="AG109" s="86">
        <v>0</v>
      </c>
      <c r="AH109" s="86">
        <v>3</v>
      </c>
      <c r="AI109" s="86">
        <v>0</v>
      </c>
      <c r="AJ109" s="86">
        <v>0</v>
      </c>
    </row>
    <row r="110" spans="1:36">
      <c r="A110" s="84">
        <v>5</v>
      </c>
      <c r="B110" s="85" t="s">
        <v>110</v>
      </c>
      <c r="C110" s="86">
        <v>3</v>
      </c>
      <c r="D110" s="86">
        <v>6</v>
      </c>
      <c r="E110" s="86">
        <v>3</v>
      </c>
      <c r="F110" s="86">
        <v>2</v>
      </c>
      <c r="G110" s="86">
        <v>6</v>
      </c>
      <c r="H110" s="86">
        <v>3</v>
      </c>
      <c r="I110" s="86">
        <v>2</v>
      </c>
      <c r="J110" s="86">
        <v>1</v>
      </c>
      <c r="K110" s="86">
        <v>2</v>
      </c>
      <c r="L110" s="86">
        <v>1</v>
      </c>
      <c r="M110" s="86">
        <v>0</v>
      </c>
      <c r="N110" s="86">
        <v>7</v>
      </c>
      <c r="O110" s="86">
        <v>6</v>
      </c>
      <c r="P110" s="86">
        <v>3</v>
      </c>
      <c r="Q110" s="87">
        <f t="shared" si="32"/>
        <v>45</v>
      </c>
      <c r="R110" s="86">
        <v>12</v>
      </c>
      <c r="S110" s="86">
        <v>28</v>
      </c>
      <c r="T110" s="86">
        <v>0</v>
      </c>
      <c r="U110" s="86">
        <v>5</v>
      </c>
      <c r="V110" s="86">
        <v>45</v>
      </c>
      <c r="W110" s="86">
        <v>0</v>
      </c>
      <c r="X110" s="86">
        <v>39</v>
      </c>
      <c r="Y110" s="86">
        <v>39</v>
      </c>
      <c r="Z110" s="86">
        <v>21</v>
      </c>
      <c r="AA110" s="86">
        <v>13</v>
      </c>
      <c r="AB110" s="86">
        <v>0</v>
      </c>
      <c r="AC110" s="88">
        <v>0</v>
      </c>
      <c r="AD110" s="86">
        <v>38</v>
      </c>
      <c r="AE110" s="86">
        <v>7</v>
      </c>
      <c r="AF110" s="86">
        <v>0</v>
      </c>
      <c r="AG110" s="86">
        <v>0</v>
      </c>
      <c r="AH110" s="86">
        <v>0</v>
      </c>
      <c r="AI110" s="86">
        <v>0</v>
      </c>
      <c r="AJ110" s="86">
        <v>0</v>
      </c>
    </row>
    <row r="111" spans="1:36">
      <c r="A111" s="84">
        <v>6</v>
      </c>
      <c r="B111" s="85" t="s">
        <v>111</v>
      </c>
      <c r="C111" s="86">
        <v>1</v>
      </c>
      <c r="D111" s="86">
        <v>0</v>
      </c>
      <c r="E111" s="86">
        <v>2</v>
      </c>
      <c r="F111" s="86">
        <v>0</v>
      </c>
      <c r="G111" s="86">
        <v>3</v>
      </c>
      <c r="H111" s="86">
        <v>2</v>
      </c>
      <c r="I111" s="86">
        <v>0</v>
      </c>
      <c r="J111" s="86">
        <v>0</v>
      </c>
      <c r="K111" s="86">
        <v>1</v>
      </c>
      <c r="L111" s="86">
        <v>0</v>
      </c>
      <c r="M111" s="86">
        <v>0</v>
      </c>
      <c r="N111" s="86">
        <v>5</v>
      </c>
      <c r="O111" s="86">
        <v>2</v>
      </c>
      <c r="P111" s="86">
        <v>1</v>
      </c>
      <c r="Q111" s="87">
        <f t="shared" si="32"/>
        <v>17</v>
      </c>
      <c r="R111" s="86">
        <v>0</v>
      </c>
      <c r="S111" s="86">
        <v>17</v>
      </c>
      <c r="T111" s="86">
        <v>0</v>
      </c>
      <c r="U111" s="86">
        <v>0</v>
      </c>
      <c r="V111" s="86">
        <v>17</v>
      </c>
      <c r="W111" s="86">
        <v>0</v>
      </c>
      <c r="X111" s="86">
        <v>13</v>
      </c>
      <c r="Y111" s="86">
        <v>13</v>
      </c>
      <c r="Z111" s="86">
        <v>13</v>
      </c>
      <c r="AA111" s="86">
        <v>2</v>
      </c>
      <c r="AB111" s="86">
        <v>0</v>
      </c>
      <c r="AC111" s="88">
        <v>0</v>
      </c>
      <c r="AD111" s="86">
        <v>16</v>
      </c>
      <c r="AE111" s="86">
        <v>1</v>
      </c>
      <c r="AF111" s="86">
        <v>0</v>
      </c>
      <c r="AG111" s="86">
        <v>0</v>
      </c>
      <c r="AH111" s="86">
        <v>0</v>
      </c>
      <c r="AI111" s="86">
        <v>0</v>
      </c>
      <c r="AJ111" s="86">
        <v>0</v>
      </c>
    </row>
    <row r="112" spans="1:36">
      <c r="A112" s="84">
        <v>7</v>
      </c>
      <c r="B112" s="85" t="s">
        <v>112</v>
      </c>
      <c r="C112" s="86">
        <v>5</v>
      </c>
      <c r="D112" s="86">
        <v>10</v>
      </c>
      <c r="E112" s="86">
        <v>9</v>
      </c>
      <c r="F112" s="86">
        <v>4</v>
      </c>
      <c r="G112" s="86">
        <v>12</v>
      </c>
      <c r="H112" s="86">
        <v>3</v>
      </c>
      <c r="I112" s="86">
        <v>3</v>
      </c>
      <c r="J112" s="86">
        <v>5</v>
      </c>
      <c r="K112" s="86">
        <v>7</v>
      </c>
      <c r="L112" s="86">
        <v>3</v>
      </c>
      <c r="M112" s="86">
        <v>0</v>
      </c>
      <c r="N112" s="86">
        <v>15</v>
      </c>
      <c r="O112" s="86">
        <v>5</v>
      </c>
      <c r="P112" s="86">
        <v>1</v>
      </c>
      <c r="Q112" s="87">
        <f t="shared" si="32"/>
        <v>82</v>
      </c>
      <c r="R112" s="86">
        <v>0</v>
      </c>
      <c r="S112" s="86">
        <v>3</v>
      </c>
      <c r="T112" s="86">
        <v>2</v>
      </c>
      <c r="U112" s="86">
        <v>77</v>
      </c>
      <c r="V112" s="86">
        <v>82</v>
      </c>
      <c r="W112" s="86">
        <v>0</v>
      </c>
      <c r="X112" s="86">
        <v>65</v>
      </c>
      <c r="Y112" s="86">
        <v>65</v>
      </c>
      <c r="Z112" s="86">
        <v>54</v>
      </c>
      <c r="AA112" s="86">
        <v>37</v>
      </c>
      <c r="AB112" s="86">
        <v>0</v>
      </c>
      <c r="AC112" s="88">
        <v>0</v>
      </c>
      <c r="AD112" s="86">
        <v>82</v>
      </c>
      <c r="AE112" s="86">
        <v>0</v>
      </c>
      <c r="AF112" s="86">
        <v>0</v>
      </c>
      <c r="AG112" s="86">
        <v>0</v>
      </c>
      <c r="AH112" s="86">
        <v>4</v>
      </c>
      <c r="AI112" s="86">
        <v>1</v>
      </c>
      <c r="AJ112" s="86">
        <v>0</v>
      </c>
    </row>
    <row r="113" spans="1:36">
      <c r="A113" s="84">
        <v>8</v>
      </c>
      <c r="B113" s="85" t="s">
        <v>113</v>
      </c>
      <c r="C113" s="86">
        <v>1</v>
      </c>
      <c r="D113" s="86">
        <v>3</v>
      </c>
      <c r="E113" s="86">
        <v>2</v>
      </c>
      <c r="F113" s="86">
        <v>0</v>
      </c>
      <c r="G113" s="86">
        <v>0</v>
      </c>
      <c r="H113" s="86">
        <v>4</v>
      </c>
      <c r="I113" s="86">
        <v>1</v>
      </c>
      <c r="J113" s="86">
        <v>0</v>
      </c>
      <c r="K113" s="86">
        <v>1</v>
      </c>
      <c r="L113" s="86">
        <v>0</v>
      </c>
      <c r="M113" s="86">
        <v>1</v>
      </c>
      <c r="N113" s="86">
        <v>4</v>
      </c>
      <c r="O113" s="86">
        <v>1</v>
      </c>
      <c r="P113" s="86">
        <v>0</v>
      </c>
      <c r="Q113" s="87">
        <f t="shared" si="32"/>
        <v>18</v>
      </c>
      <c r="R113" s="86">
        <v>0</v>
      </c>
      <c r="S113" s="86">
        <v>15</v>
      </c>
      <c r="T113" s="86">
        <v>0</v>
      </c>
      <c r="U113" s="86"/>
      <c r="V113" s="86">
        <v>3</v>
      </c>
      <c r="W113" s="86">
        <v>18</v>
      </c>
      <c r="X113" s="86">
        <v>0</v>
      </c>
      <c r="Y113" s="86">
        <v>0</v>
      </c>
      <c r="Z113" s="86">
        <v>7</v>
      </c>
      <c r="AA113" s="86">
        <v>15</v>
      </c>
      <c r="AB113" s="86">
        <v>0</v>
      </c>
      <c r="AC113" s="88">
        <v>0</v>
      </c>
      <c r="AD113" s="86">
        <v>18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6">
        <v>0</v>
      </c>
    </row>
    <row r="114" spans="1:36">
      <c r="A114" s="84">
        <v>9</v>
      </c>
      <c r="B114" s="85" t="s">
        <v>114</v>
      </c>
      <c r="C114" s="86">
        <v>0</v>
      </c>
      <c r="D114" s="86">
        <v>5</v>
      </c>
      <c r="E114" s="86">
        <v>4</v>
      </c>
      <c r="F114" s="86">
        <v>0</v>
      </c>
      <c r="G114" s="86">
        <v>5</v>
      </c>
      <c r="H114" s="86">
        <v>2</v>
      </c>
      <c r="I114" s="86">
        <v>1</v>
      </c>
      <c r="J114" s="86">
        <v>2</v>
      </c>
      <c r="K114" s="86">
        <v>3</v>
      </c>
      <c r="L114" s="86">
        <v>0</v>
      </c>
      <c r="M114" s="86">
        <v>2</v>
      </c>
      <c r="N114" s="86">
        <v>3</v>
      </c>
      <c r="O114" s="86">
        <v>2</v>
      </c>
      <c r="P114" s="86">
        <v>1</v>
      </c>
      <c r="Q114" s="87">
        <f t="shared" ref="Q114:Q119" si="33">SUM(C114:P114)</f>
        <v>30</v>
      </c>
      <c r="R114" s="86">
        <v>0</v>
      </c>
      <c r="S114" s="86">
        <v>0</v>
      </c>
      <c r="T114" s="86">
        <v>10</v>
      </c>
      <c r="U114" s="86">
        <v>0</v>
      </c>
      <c r="V114" s="86">
        <v>30</v>
      </c>
      <c r="W114" s="86">
        <v>0</v>
      </c>
      <c r="X114" s="86">
        <v>12</v>
      </c>
      <c r="Y114" s="86">
        <v>12</v>
      </c>
      <c r="Z114" s="86">
        <v>12</v>
      </c>
      <c r="AA114" s="86">
        <v>4</v>
      </c>
      <c r="AB114" s="86">
        <v>0</v>
      </c>
      <c r="AC114" s="88">
        <v>0</v>
      </c>
      <c r="AD114" s="86">
        <v>26</v>
      </c>
      <c r="AE114" s="86">
        <v>3</v>
      </c>
      <c r="AF114" s="86">
        <v>1</v>
      </c>
      <c r="AG114" s="86">
        <v>0</v>
      </c>
      <c r="AH114" s="86">
        <v>3</v>
      </c>
      <c r="AI114" s="86">
        <v>2</v>
      </c>
      <c r="AJ114" s="86">
        <v>0</v>
      </c>
    </row>
    <row r="115" spans="1:36">
      <c r="A115" s="84">
        <v>10</v>
      </c>
      <c r="B115" s="85" t="s">
        <v>115</v>
      </c>
      <c r="C115" s="86">
        <v>0</v>
      </c>
      <c r="D115" s="86">
        <v>0</v>
      </c>
      <c r="E115" s="86">
        <v>0</v>
      </c>
      <c r="F115" s="86">
        <v>0</v>
      </c>
      <c r="G115" s="86">
        <v>1</v>
      </c>
      <c r="H115" s="86">
        <v>0</v>
      </c>
      <c r="I115" s="86">
        <v>0</v>
      </c>
      <c r="J115" s="86">
        <v>0</v>
      </c>
      <c r="K115" s="86">
        <v>0</v>
      </c>
      <c r="L115" s="86">
        <v>0</v>
      </c>
      <c r="M115" s="86">
        <v>2</v>
      </c>
      <c r="N115" s="86">
        <v>1</v>
      </c>
      <c r="O115" s="86">
        <v>0</v>
      </c>
      <c r="P115" s="86">
        <v>0</v>
      </c>
      <c r="Q115" s="87">
        <f t="shared" si="33"/>
        <v>4</v>
      </c>
      <c r="R115" s="86">
        <v>4</v>
      </c>
      <c r="S115" s="86">
        <v>0</v>
      </c>
      <c r="T115" s="86">
        <v>0</v>
      </c>
      <c r="U115" s="86">
        <v>0</v>
      </c>
      <c r="V115" s="86">
        <v>4</v>
      </c>
      <c r="W115" s="86">
        <v>0</v>
      </c>
      <c r="X115" s="86">
        <v>3</v>
      </c>
      <c r="Y115" s="86">
        <v>3</v>
      </c>
      <c r="Z115" s="86">
        <v>6</v>
      </c>
      <c r="AA115" s="86">
        <v>2</v>
      </c>
      <c r="AB115" s="86">
        <v>0</v>
      </c>
      <c r="AC115" s="88">
        <v>0</v>
      </c>
      <c r="AD115" s="86">
        <v>4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6">
        <v>0</v>
      </c>
    </row>
    <row r="116" spans="1:36">
      <c r="A116" s="84">
        <v>11</v>
      </c>
      <c r="B116" s="85" t="s">
        <v>116</v>
      </c>
      <c r="C116" s="86">
        <v>5</v>
      </c>
      <c r="D116" s="86">
        <v>5</v>
      </c>
      <c r="E116" s="86">
        <v>1</v>
      </c>
      <c r="F116" s="86">
        <v>1</v>
      </c>
      <c r="G116" s="86">
        <v>2</v>
      </c>
      <c r="H116" s="86">
        <v>1</v>
      </c>
      <c r="I116" s="86">
        <v>1</v>
      </c>
      <c r="J116" s="86">
        <v>0</v>
      </c>
      <c r="K116" s="86">
        <v>3</v>
      </c>
      <c r="L116" s="86">
        <v>0</v>
      </c>
      <c r="M116" s="86">
        <v>0</v>
      </c>
      <c r="N116" s="86">
        <v>0</v>
      </c>
      <c r="O116" s="86">
        <v>0</v>
      </c>
      <c r="P116" s="86">
        <v>0</v>
      </c>
      <c r="Q116" s="87">
        <f t="shared" si="33"/>
        <v>19</v>
      </c>
      <c r="R116" s="86">
        <v>19</v>
      </c>
      <c r="S116" s="86">
        <v>0</v>
      </c>
      <c r="T116" s="86">
        <v>0</v>
      </c>
      <c r="U116" s="86">
        <v>0</v>
      </c>
      <c r="V116" s="86">
        <v>19</v>
      </c>
      <c r="W116" s="86">
        <v>9</v>
      </c>
      <c r="X116" s="86">
        <v>11</v>
      </c>
      <c r="Y116" s="86">
        <v>11</v>
      </c>
      <c r="Z116" s="86">
        <v>9</v>
      </c>
      <c r="AA116" s="86">
        <v>6</v>
      </c>
      <c r="AB116" s="86">
        <v>0</v>
      </c>
      <c r="AC116" s="88">
        <v>0</v>
      </c>
      <c r="AD116" s="86">
        <v>16</v>
      </c>
      <c r="AE116" s="86">
        <v>3</v>
      </c>
      <c r="AF116" s="86">
        <v>0</v>
      </c>
      <c r="AG116" s="86">
        <v>0</v>
      </c>
      <c r="AH116" s="86">
        <v>0</v>
      </c>
      <c r="AI116" s="86">
        <v>0</v>
      </c>
      <c r="AJ116" s="86">
        <v>0</v>
      </c>
    </row>
    <row r="117" spans="1:36">
      <c r="A117" s="84">
        <v>12</v>
      </c>
      <c r="B117" s="85" t="s">
        <v>117</v>
      </c>
      <c r="C117" s="86">
        <v>1</v>
      </c>
      <c r="D117" s="86">
        <v>1</v>
      </c>
      <c r="E117" s="86">
        <v>2</v>
      </c>
      <c r="F117" s="86">
        <v>0</v>
      </c>
      <c r="G117" s="86">
        <v>0</v>
      </c>
      <c r="H117" s="86">
        <v>1</v>
      </c>
      <c r="I117" s="86">
        <v>0</v>
      </c>
      <c r="J117" s="86">
        <v>0</v>
      </c>
      <c r="K117" s="86">
        <v>2</v>
      </c>
      <c r="L117" s="86">
        <v>1</v>
      </c>
      <c r="M117" s="86">
        <v>0</v>
      </c>
      <c r="N117" s="86">
        <v>0</v>
      </c>
      <c r="O117" s="86">
        <v>0</v>
      </c>
      <c r="P117" s="86">
        <v>0</v>
      </c>
      <c r="Q117" s="87">
        <f t="shared" si="33"/>
        <v>8</v>
      </c>
      <c r="R117" s="86">
        <v>6</v>
      </c>
      <c r="S117" s="86">
        <v>0</v>
      </c>
      <c r="T117" s="86">
        <v>0</v>
      </c>
      <c r="U117" s="86">
        <v>2</v>
      </c>
      <c r="V117" s="86">
        <v>8</v>
      </c>
      <c r="W117" s="86">
        <v>0</v>
      </c>
      <c r="X117" s="86">
        <v>4</v>
      </c>
      <c r="Y117" s="86">
        <v>4</v>
      </c>
      <c r="Z117" s="86">
        <v>4</v>
      </c>
      <c r="AA117" s="86">
        <v>4</v>
      </c>
      <c r="AB117" s="86">
        <v>0</v>
      </c>
      <c r="AC117" s="88">
        <v>0</v>
      </c>
      <c r="AD117" s="86">
        <v>8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6">
        <v>0</v>
      </c>
    </row>
    <row r="118" spans="1:36">
      <c r="A118" s="84">
        <v>13</v>
      </c>
      <c r="B118" s="85" t="s">
        <v>118</v>
      </c>
      <c r="C118" s="86">
        <v>0</v>
      </c>
      <c r="D118" s="86">
        <v>0</v>
      </c>
      <c r="E118" s="86">
        <v>0</v>
      </c>
      <c r="F118" s="86">
        <v>0</v>
      </c>
      <c r="G118" s="86">
        <v>0</v>
      </c>
      <c r="H118" s="86">
        <v>1</v>
      </c>
      <c r="I118" s="86">
        <v>0</v>
      </c>
      <c r="J118" s="86">
        <v>0</v>
      </c>
      <c r="K118" s="86">
        <v>0</v>
      </c>
      <c r="L118" s="86">
        <v>0</v>
      </c>
      <c r="M118" s="86">
        <v>0</v>
      </c>
      <c r="N118" s="86">
        <v>0</v>
      </c>
      <c r="O118" s="86">
        <v>0</v>
      </c>
      <c r="P118" s="86">
        <v>1</v>
      </c>
      <c r="Q118" s="87">
        <f t="shared" si="33"/>
        <v>2</v>
      </c>
      <c r="R118" s="86">
        <v>0</v>
      </c>
      <c r="S118" s="86">
        <v>0</v>
      </c>
      <c r="T118" s="86">
        <v>2</v>
      </c>
      <c r="U118" s="86">
        <v>0</v>
      </c>
      <c r="V118" s="86">
        <v>2</v>
      </c>
      <c r="W118" s="86">
        <v>0</v>
      </c>
      <c r="X118" s="86">
        <v>0</v>
      </c>
      <c r="Y118" s="86">
        <v>0</v>
      </c>
      <c r="Z118" s="86">
        <v>0</v>
      </c>
      <c r="AA118" s="86">
        <v>0</v>
      </c>
      <c r="AB118" s="86">
        <v>2</v>
      </c>
      <c r="AC118" s="88">
        <v>0</v>
      </c>
      <c r="AD118" s="86">
        <v>2</v>
      </c>
      <c r="AE118" s="86">
        <v>0</v>
      </c>
      <c r="AF118" s="86">
        <v>0</v>
      </c>
      <c r="AG118" s="86">
        <v>0</v>
      </c>
      <c r="AH118" s="86">
        <v>0</v>
      </c>
      <c r="AI118" s="86">
        <v>0</v>
      </c>
      <c r="AJ118" s="86">
        <v>0</v>
      </c>
    </row>
    <row r="119" spans="1:36">
      <c r="A119" s="124" t="s">
        <v>31</v>
      </c>
      <c r="B119" s="125"/>
      <c r="C119" s="89">
        <f>SUM(C106:C118)</f>
        <v>23</v>
      </c>
      <c r="D119" s="89">
        <f t="shared" ref="D119:M119" si="34">SUM(D106:D118)</f>
        <v>38</v>
      </c>
      <c r="E119" s="89">
        <f t="shared" si="34"/>
        <v>29</v>
      </c>
      <c r="F119" s="89">
        <f t="shared" si="34"/>
        <v>10</v>
      </c>
      <c r="G119" s="89">
        <f t="shared" si="34"/>
        <v>37</v>
      </c>
      <c r="H119" s="89">
        <f t="shared" si="34"/>
        <v>32</v>
      </c>
      <c r="I119" s="89">
        <f t="shared" si="34"/>
        <v>12</v>
      </c>
      <c r="J119" s="89">
        <f t="shared" si="34"/>
        <v>12</v>
      </c>
      <c r="K119" s="89">
        <f t="shared" si="34"/>
        <v>27</v>
      </c>
      <c r="L119" s="89">
        <f t="shared" si="34"/>
        <v>8</v>
      </c>
      <c r="M119" s="89">
        <f t="shared" si="34"/>
        <v>12</v>
      </c>
      <c r="N119" s="89">
        <f>SUM(N106:N118)</f>
        <v>60</v>
      </c>
      <c r="O119" s="89">
        <f t="shared" ref="O119:P119" si="35">SUM(O106:O118)</f>
        <v>30</v>
      </c>
      <c r="P119" s="89">
        <f t="shared" si="35"/>
        <v>15</v>
      </c>
      <c r="Q119" s="87">
        <f t="shared" si="33"/>
        <v>345</v>
      </c>
      <c r="R119" s="89">
        <f t="shared" ref="R119:AB119" si="36">SUM(R106:R118)</f>
        <v>48</v>
      </c>
      <c r="S119" s="89">
        <f t="shared" si="36"/>
        <v>79</v>
      </c>
      <c r="T119" s="89">
        <f t="shared" si="36"/>
        <v>44</v>
      </c>
      <c r="U119" s="89">
        <f t="shared" si="36"/>
        <v>151</v>
      </c>
      <c r="V119" s="89">
        <f t="shared" si="36"/>
        <v>330</v>
      </c>
      <c r="W119" s="89">
        <f t="shared" si="36"/>
        <v>27</v>
      </c>
      <c r="X119" s="89">
        <f t="shared" si="36"/>
        <v>226</v>
      </c>
      <c r="Y119" s="89">
        <f t="shared" si="36"/>
        <v>226</v>
      </c>
      <c r="Z119" s="89">
        <f t="shared" si="36"/>
        <v>214</v>
      </c>
      <c r="AA119" s="89">
        <f t="shared" si="36"/>
        <v>131</v>
      </c>
      <c r="AB119" s="89">
        <f t="shared" si="36"/>
        <v>2</v>
      </c>
      <c r="AC119" s="90">
        <v>0</v>
      </c>
      <c r="AD119" s="89">
        <f t="shared" ref="AD119:AJ119" si="37">SUM(AD106:AD118)</f>
        <v>319</v>
      </c>
      <c r="AE119" s="89">
        <f t="shared" si="37"/>
        <v>25</v>
      </c>
      <c r="AF119" s="89">
        <f t="shared" si="37"/>
        <v>1</v>
      </c>
      <c r="AG119" s="89">
        <f t="shared" si="37"/>
        <v>0</v>
      </c>
      <c r="AH119" s="89">
        <f t="shared" si="37"/>
        <v>14</v>
      </c>
      <c r="AI119" s="89">
        <f t="shared" si="37"/>
        <v>4</v>
      </c>
      <c r="AJ119" s="89">
        <f t="shared" si="37"/>
        <v>0</v>
      </c>
    </row>
    <row r="130" spans="1:36" ht="20.25">
      <c r="A130" s="139" t="s">
        <v>0</v>
      </c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</row>
    <row r="132" spans="1:36">
      <c r="A132" s="140" t="s">
        <v>38</v>
      </c>
      <c r="B132" s="140"/>
      <c r="C132" s="72" t="s">
        <v>40</v>
      </c>
      <c r="D132" s="72" t="s">
        <v>104</v>
      </c>
    </row>
    <row r="133" spans="1:36">
      <c r="A133" s="140" t="s">
        <v>1</v>
      </c>
      <c r="B133" s="140"/>
      <c r="C133" s="72" t="s">
        <v>123</v>
      </c>
    </row>
    <row r="134" spans="1:36">
      <c r="A134" s="73" t="s">
        <v>2</v>
      </c>
      <c r="B134" s="73"/>
      <c r="D134" s="74">
        <v>2025</v>
      </c>
    </row>
    <row r="135" spans="1:36">
      <c r="A135" s="126" t="s">
        <v>3</v>
      </c>
      <c r="B135" s="126" t="s">
        <v>106</v>
      </c>
      <c r="C135" s="136" t="s">
        <v>4</v>
      </c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8"/>
      <c r="Q135" s="142" t="s">
        <v>5</v>
      </c>
      <c r="R135" s="129" t="s">
        <v>32</v>
      </c>
      <c r="S135" s="130"/>
      <c r="T135" s="130"/>
      <c r="U135" s="131"/>
      <c r="V135" s="136" t="s">
        <v>6</v>
      </c>
      <c r="W135" s="137"/>
      <c r="X135" s="137"/>
      <c r="Y135" s="137"/>
      <c r="Z135" s="137"/>
      <c r="AA135" s="138"/>
      <c r="AB135" s="126" t="s">
        <v>7</v>
      </c>
      <c r="AC135" s="141" t="s">
        <v>8</v>
      </c>
      <c r="AD135" s="136" t="s">
        <v>9</v>
      </c>
      <c r="AE135" s="137"/>
      <c r="AF135" s="137"/>
      <c r="AG135" s="138"/>
      <c r="AH135" s="142" t="s">
        <v>10</v>
      </c>
      <c r="AI135" s="142" t="s">
        <v>11</v>
      </c>
      <c r="AJ135" s="145" t="s">
        <v>12</v>
      </c>
    </row>
    <row r="136" spans="1:36">
      <c r="A136" s="127"/>
      <c r="B136" s="127"/>
      <c r="C136" s="136" t="s">
        <v>13</v>
      </c>
      <c r="D136" s="137"/>
      <c r="E136" s="137"/>
      <c r="F136" s="137"/>
      <c r="G136" s="137"/>
      <c r="H136" s="137"/>
      <c r="I136" s="138"/>
      <c r="J136" s="136" t="s">
        <v>14</v>
      </c>
      <c r="K136" s="137"/>
      <c r="L136" s="137"/>
      <c r="M136" s="137"/>
      <c r="N136" s="137"/>
      <c r="O136" s="137"/>
      <c r="P136" s="138"/>
      <c r="Q136" s="144"/>
      <c r="R136" s="132" t="s">
        <v>35</v>
      </c>
      <c r="S136" s="132" t="s">
        <v>36</v>
      </c>
      <c r="T136" s="134" t="s">
        <v>37</v>
      </c>
      <c r="U136" s="135"/>
      <c r="V136" s="146" t="s">
        <v>15</v>
      </c>
      <c r="W136" s="147"/>
      <c r="X136" s="145" t="s">
        <v>16</v>
      </c>
      <c r="Y136" s="145"/>
      <c r="Z136" s="75" t="s">
        <v>17</v>
      </c>
      <c r="AA136" s="75" t="s">
        <v>18</v>
      </c>
      <c r="AB136" s="127"/>
      <c r="AC136" s="141"/>
      <c r="AD136" s="126" t="s">
        <v>19</v>
      </c>
      <c r="AE136" s="126" t="s">
        <v>20</v>
      </c>
      <c r="AF136" s="126" t="s">
        <v>21</v>
      </c>
      <c r="AG136" s="142" t="s">
        <v>22</v>
      </c>
      <c r="AH136" s="144"/>
      <c r="AI136" s="144"/>
      <c r="AJ136" s="145"/>
    </row>
    <row r="137" spans="1:36" ht="22.5">
      <c r="A137" s="128"/>
      <c r="B137" s="128"/>
      <c r="C137" s="75" t="s">
        <v>23</v>
      </c>
      <c r="D137" s="76" t="s">
        <v>24</v>
      </c>
      <c r="E137" s="77" t="s">
        <v>25</v>
      </c>
      <c r="F137" s="78" t="s">
        <v>26</v>
      </c>
      <c r="G137" s="78" t="s">
        <v>27</v>
      </c>
      <c r="H137" s="78" t="s">
        <v>28</v>
      </c>
      <c r="I137" s="75" t="s">
        <v>29</v>
      </c>
      <c r="J137" s="75" t="s">
        <v>23</v>
      </c>
      <c r="K137" s="76" t="s">
        <v>24</v>
      </c>
      <c r="L137" s="77" t="s">
        <v>25</v>
      </c>
      <c r="M137" s="78" t="s">
        <v>26</v>
      </c>
      <c r="N137" s="78" t="s">
        <v>27</v>
      </c>
      <c r="O137" s="78" t="s">
        <v>28</v>
      </c>
      <c r="P137" s="75" t="s">
        <v>29</v>
      </c>
      <c r="Q137" s="143"/>
      <c r="R137" s="133"/>
      <c r="S137" s="133"/>
      <c r="T137" s="79" t="s">
        <v>33</v>
      </c>
      <c r="U137" s="79" t="s">
        <v>34</v>
      </c>
      <c r="V137" s="80" t="s">
        <v>42</v>
      </c>
      <c r="W137" s="80" t="s">
        <v>41</v>
      </c>
      <c r="X137" s="75" t="s">
        <v>30</v>
      </c>
      <c r="Y137" s="75" t="s">
        <v>30</v>
      </c>
      <c r="Z137" s="75" t="s">
        <v>30</v>
      </c>
      <c r="AA137" s="75" t="s">
        <v>30</v>
      </c>
      <c r="AB137" s="128"/>
      <c r="AC137" s="141"/>
      <c r="AD137" s="128"/>
      <c r="AE137" s="128"/>
      <c r="AF137" s="128"/>
      <c r="AG137" s="143"/>
      <c r="AH137" s="143"/>
      <c r="AI137" s="143"/>
      <c r="AJ137" s="145"/>
    </row>
    <row r="138" spans="1:36">
      <c r="A138" s="82">
        <v>1</v>
      </c>
      <c r="B138" s="82">
        <v>2</v>
      </c>
      <c r="C138" s="83">
        <v>3</v>
      </c>
      <c r="D138" s="82">
        <v>4</v>
      </c>
      <c r="E138" s="82">
        <v>5</v>
      </c>
      <c r="F138" s="83">
        <v>6</v>
      </c>
      <c r="G138" s="82">
        <v>7</v>
      </c>
      <c r="H138" s="82">
        <v>8</v>
      </c>
      <c r="I138" s="83">
        <v>9</v>
      </c>
      <c r="J138" s="82">
        <v>10</v>
      </c>
      <c r="K138" s="82">
        <v>11</v>
      </c>
      <c r="L138" s="83">
        <v>12</v>
      </c>
      <c r="M138" s="82">
        <v>13</v>
      </c>
      <c r="N138" s="82">
        <v>14</v>
      </c>
      <c r="O138" s="83">
        <v>15</v>
      </c>
      <c r="P138" s="82">
        <v>16</v>
      </c>
      <c r="Q138" s="82">
        <v>17</v>
      </c>
      <c r="R138" s="83">
        <v>18</v>
      </c>
      <c r="S138" s="82">
        <v>19</v>
      </c>
      <c r="T138" s="82">
        <v>20</v>
      </c>
      <c r="U138" s="83">
        <v>21</v>
      </c>
      <c r="V138" s="82">
        <v>22</v>
      </c>
      <c r="W138" s="82">
        <v>23</v>
      </c>
      <c r="X138" s="83">
        <v>24</v>
      </c>
      <c r="Y138" s="82">
        <v>25</v>
      </c>
      <c r="Z138" s="82">
        <v>26</v>
      </c>
      <c r="AA138" s="83">
        <v>27</v>
      </c>
      <c r="AB138" s="82">
        <v>28</v>
      </c>
      <c r="AC138" s="82">
        <v>29</v>
      </c>
      <c r="AD138" s="83">
        <v>30</v>
      </c>
      <c r="AE138" s="82">
        <v>31</v>
      </c>
      <c r="AF138" s="82">
        <v>32</v>
      </c>
      <c r="AG138" s="83">
        <v>33</v>
      </c>
      <c r="AH138" s="82">
        <v>34</v>
      </c>
      <c r="AI138" s="82">
        <v>35</v>
      </c>
      <c r="AJ138" s="82">
        <v>36</v>
      </c>
    </row>
    <row r="139" spans="1:36">
      <c r="A139" s="84">
        <v>1</v>
      </c>
      <c r="B139" s="85" t="s">
        <v>107</v>
      </c>
      <c r="C139" s="86">
        <v>2</v>
      </c>
      <c r="D139" s="86">
        <v>5</v>
      </c>
      <c r="E139" s="86">
        <v>2</v>
      </c>
      <c r="F139" s="86">
        <v>3</v>
      </c>
      <c r="G139" s="86">
        <v>6</v>
      </c>
      <c r="H139" s="86">
        <v>4</v>
      </c>
      <c r="I139" s="86">
        <v>2</v>
      </c>
      <c r="J139" s="86">
        <v>1</v>
      </c>
      <c r="K139" s="86">
        <v>1</v>
      </c>
      <c r="L139" s="86">
        <v>2</v>
      </c>
      <c r="M139" s="86">
        <v>2</v>
      </c>
      <c r="N139" s="86">
        <v>9</v>
      </c>
      <c r="O139" s="86">
        <v>10</v>
      </c>
      <c r="P139" s="86">
        <v>1</v>
      </c>
      <c r="Q139" s="87">
        <f>SUM(C139:P139)</f>
        <v>50</v>
      </c>
      <c r="R139" s="86">
        <v>4</v>
      </c>
      <c r="S139" s="86">
        <v>0</v>
      </c>
      <c r="T139" s="86">
        <v>0</v>
      </c>
      <c r="U139" s="86">
        <v>46</v>
      </c>
      <c r="V139" s="86">
        <v>50</v>
      </c>
      <c r="W139" s="86">
        <v>0</v>
      </c>
      <c r="X139" s="86">
        <v>46</v>
      </c>
      <c r="Y139" s="86">
        <v>46</v>
      </c>
      <c r="Z139" s="86">
        <v>32</v>
      </c>
      <c r="AA139" s="86">
        <v>19</v>
      </c>
      <c r="AB139" s="86">
        <v>0</v>
      </c>
      <c r="AC139" s="88">
        <v>0</v>
      </c>
      <c r="AD139" s="86">
        <v>46</v>
      </c>
      <c r="AE139" s="86">
        <v>4</v>
      </c>
      <c r="AF139" s="86">
        <v>0</v>
      </c>
      <c r="AG139" s="86">
        <v>0</v>
      </c>
      <c r="AH139" s="86">
        <v>0</v>
      </c>
      <c r="AI139" s="86">
        <v>0</v>
      </c>
      <c r="AJ139" s="86">
        <v>0</v>
      </c>
    </row>
    <row r="140" spans="1:36">
      <c r="A140" s="84">
        <v>2</v>
      </c>
      <c r="B140" s="85" t="s">
        <v>108</v>
      </c>
      <c r="C140" s="86">
        <v>2</v>
      </c>
      <c r="D140" s="86">
        <v>4</v>
      </c>
      <c r="E140" s="86">
        <v>5</v>
      </c>
      <c r="F140" s="86">
        <v>0</v>
      </c>
      <c r="G140" s="86">
        <v>4</v>
      </c>
      <c r="H140" s="86">
        <v>1</v>
      </c>
      <c r="I140" s="86">
        <v>1</v>
      </c>
      <c r="J140" s="86">
        <v>0</v>
      </c>
      <c r="K140" s="86">
        <v>0</v>
      </c>
      <c r="L140" s="86">
        <v>0</v>
      </c>
      <c r="M140" s="86">
        <v>1</v>
      </c>
      <c r="N140" s="86">
        <v>5</v>
      </c>
      <c r="O140" s="86">
        <v>4</v>
      </c>
      <c r="P140" s="86">
        <v>1</v>
      </c>
      <c r="Q140" s="87">
        <f t="shared" ref="Q140:Q144" si="38">SUM(C140:P140)</f>
        <v>28</v>
      </c>
      <c r="R140" s="86">
        <v>0</v>
      </c>
      <c r="S140" s="86">
        <v>0</v>
      </c>
      <c r="T140" s="86">
        <v>0</v>
      </c>
      <c r="U140" s="86">
        <v>28</v>
      </c>
      <c r="V140" s="86">
        <v>28</v>
      </c>
      <c r="W140" s="86">
        <v>0</v>
      </c>
      <c r="X140" s="86">
        <v>25</v>
      </c>
      <c r="Y140" s="86">
        <v>25</v>
      </c>
      <c r="Z140" s="86">
        <v>19</v>
      </c>
      <c r="AA140" s="86">
        <v>13</v>
      </c>
      <c r="AB140" s="86">
        <v>0</v>
      </c>
      <c r="AC140" s="88">
        <v>0</v>
      </c>
      <c r="AD140" s="86">
        <v>25</v>
      </c>
      <c r="AE140" s="86">
        <v>3</v>
      </c>
      <c r="AF140" s="86">
        <v>0</v>
      </c>
      <c r="AG140" s="86">
        <v>0</v>
      </c>
      <c r="AH140" s="86">
        <v>2</v>
      </c>
      <c r="AI140" s="86">
        <v>1</v>
      </c>
      <c r="AJ140" s="86">
        <v>0</v>
      </c>
    </row>
    <row r="141" spans="1:36">
      <c r="A141" s="84">
        <v>3</v>
      </c>
      <c r="B141" s="85" t="s">
        <v>119</v>
      </c>
      <c r="C141" s="86">
        <v>3</v>
      </c>
      <c r="D141" s="86">
        <v>1</v>
      </c>
      <c r="E141" s="86">
        <v>4</v>
      </c>
      <c r="F141" s="86">
        <v>0</v>
      </c>
      <c r="G141" s="86">
        <v>3</v>
      </c>
      <c r="H141" s="86">
        <v>1</v>
      </c>
      <c r="I141" s="86">
        <v>2</v>
      </c>
      <c r="J141" s="86">
        <v>1</v>
      </c>
      <c r="K141" s="86">
        <v>1</v>
      </c>
      <c r="L141" s="86">
        <v>2</v>
      </c>
      <c r="M141" s="86">
        <v>1</v>
      </c>
      <c r="N141" s="86">
        <v>3</v>
      </c>
      <c r="O141" s="86">
        <v>5</v>
      </c>
      <c r="P141" s="86">
        <v>1</v>
      </c>
      <c r="Q141" s="87">
        <f t="shared" si="38"/>
        <v>28</v>
      </c>
      <c r="R141" s="86">
        <v>1</v>
      </c>
      <c r="S141" s="86">
        <v>3</v>
      </c>
      <c r="T141" s="86"/>
      <c r="U141" s="86">
        <v>23</v>
      </c>
      <c r="V141" s="86">
        <v>28</v>
      </c>
      <c r="W141" s="86">
        <v>0</v>
      </c>
      <c r="X141" s="86">
        <v>16</v>
      </c>
      <c r="Y141" s="86">
        <v>16</v>
      </c>
      <c r="Z141" s="86">
        <v>17</v>
      </c>
      <c r="AA141" s="86">
        <v>16</v>
      </c>
      <c r="AB141" s="86">
        <v>0</v>
      </c>
      <c r="AC141" s="88">
        <v>0</v>
      </c>
      <c r="AD141" s="86">
        <v>19</v>
      </c>
      <c r="AE141" s="86">
        <v>5</v>
      </c>
      <c r="AF141" s="86">
        <v>0</v>
      </c>
      <c r="AG141" s="86">
        <v>0</v>
      </c>
      <c r="AH141" s="86">
        <v>0</v>
      </c>
      <c r="AI141" s="86">
        <v>0</v>
      </c>
      <c r="AJ141" s="86">
        <v>0</v>
      </c>
    </row>
    <row r="142" spans="1:36">
      <c r="A142" s="84">
        <v>4</v>
      </c>
      <c r="B142" s="85" t="s">
        <v>109</v>
      </c>
      <c r="C142" s="86">
        <v>2</v>
      </c>
      <c r="D142" s="86">
        <v>5</v>
      </c>
      <c r="E142" s="86">
        <v>8</v>
      </c>
      <c r="F142" s="86">
        <v>2</v>
      </c>
      <c r="G142" s="86">
        <v>10</v>
      </c>
      <c r="H142" s="86">
        <v>5</v>
      </c>
      <c r="I142" s="86">
        <v>0</v>
      </c>
      <c r="J142" s="86">
        <v>0</v>
      </c>
      <c r="K142" s="86">
        <v>6</v>
      </c>
      <c r="L142" s="86">
        <v>2</v>
      </c>
      <c r="M142" s="86">
        <v>0</v>
      </c>
      <c r="N142" s="86">
        <v>6</v>
      </c>
      <c r="O142" s="86">
        <v>2</v>
      </c>
      <c r="P142" s="86">
        <v>5</v>
      </c>
      <c r="Q142" s="87">
        <f t="shared" si="38"/>
        <v>53</v>
      </c>
      <c r="R142" s="86">
        <v>0</v>
      </c>
      <c r="S142" s="86">
        <v>0</v>
      </c>
      <c r="T142" s="86">
        <v>2</v>
      </c>
      <c r="U142" s="86">
        <v>51</v>
      </c>
      <c r="V142" s="86">
        <v>53</v>
      </c>
      <c r="W142" s="86">
        <v>0</v>
      </c>
      <c r="X142" s="86">
        <v>30</v>
      </c>
      <c r="Y142" s="86">
        <v>30</v>
      </c>
      <c r="Z142" s="86">
        <v>21</v>
      </c>
      <c r="AA142" s="86">
        <v>19</v>
      </c>
      <c r="AB142" s="86">
        <v>0</v>
      </c>
      <c r="AC142" s="88">
        <v>0</v>
      </c>
      <c r="AD142" s="86"/>
      <c r="AE142" s="86"/>
      <c r="AF142" s="86"/>
      <c r="AG142" s="86"/>
      <c r="AH142" s="86"/>
      <c r="AI142" s="86"/>
      <c r="AJ142" s="86">
        <v>0</v>
      </c>
    </row>
    <row r="143" spans="1:36">
      <c r="A143" s="84">
        <v>5</v>
      </c>
      <c r="B143" s="85" t="s">
        <v>110</v>
      </c>
      <c r="C143" s="86">
        <v>3</v>
      </c>
      <c r="D143" s="86">
        <v>7</v>
      </c>
      <c r="E143" s="86">
        <v>6</v>
      </c>
      <c r="F143" s="86">
        <v>1</v>
      </c>
      <c r="G143" s="86">
        <v>6</v>
      </c>
      <c r="H143" s="86">
        <v>6</v>
      </c>
      <c r="I143" s="86">
        <v>2</v>
      </c>
      <c r="J143" s="86">
        <v>2</v>
      </c>
      <c r="K143" s="86">
        <v>3</v>
      </c>
      <c r="L143" s="86">
        <v>2</v>
      </c>
      <c r="M143" s="86">
        <v>0</v>
      </c>
      <c r="N143" s="86">
        <v>6</v>
      </c>
      <c r="O143" s="86">
        <v>10</v>
      </c>
      <c r="P143" s="86">
        <v>5</v>
      </c>
      <c r="Q143" s="87">
        <f t="shared" si="38"/>
        <v>59</v>
      </c>
      <c r="R143" s="86">
        <v>44</v>
      </c>
      <c r="S143" s="86">
        <v>15</v>
      </c>
      <c r="T143" s="86">
        <v>0</v>
      </c>
      <c r="U143" s="86">
        <v>0</v>
      </c>
      <c r="V143" s="86">
        <v>59</v>
      </c>
      <c r="W143" s="86">
        <v>0</v>
      </c>
      <c r="X143" s="86">
        <v>48</v>
      </c>
      <c r="Y143" s="86">
        <v>48</v>
      </c>
      <c r="Z143" s="86">
        <v>37</v>
      </c>
      <c r="AA143" s="86">
        <v>3</v>
      </c>
      <c r="AB143" s="86">
        <v>0</v>
      </c>
      <c r="AC143" s="88">
        <v>0</v>
      </c>
      <c r="AD143" s="86">
        <v>54</v>
      </c>
      <c r="AE143" s="86">
        <v>5</v>
      </c>
      <c r="AF143" s="86">
        <v>0</v>
      </c>
      <c r="AG143" s="86">
        <v>0</v>
      </c>
      <c r="AH143" s="86">
        <v>0</v>
      </c>
      <c r="AI143" s="86">
        <v>0</v>
      </c>
      <c r="AJ143" s="86">
        <v>0</v>
      </c>
    </row>
    <row r="144" spans="1:36">
      <c r="A144" s="84">
        <v>6</v>
      </c>
      <c r="B144" s="85" t="s">
        <v>111</v>
      </c>
      <c r="C144" s="86">
        <v>2</v>
      </c>
      <c r="D144" s="86">
        <v>0</v>
      </c>
      <c r="E144" s="86">
        <v>0</v>
      </c>
      <c r="F144" s="86">
        <v>0</v>
      </c>
      <c r="G144" s="86">
        <v>2</v>
      </c>
      <c r="H144" s="86">
        <v>3</v>
      </c>
      <c r="I144" s="86">
        <v>2</v>
      </c>
      <c r="J144" s="86">
        <v>1</v>
      </c>
      <c r="K144" s="86">
        <v>0</v>
      </c>
      <c r="L144" s="86">
        <v>0</v>
      </c>
      <c r="M144" s="86">
        <v>0</v>
      </c>
      <c r="N144" s="86">
        <v>4</v>
      </c>
      <c r="O144" s="86">
        <v>5</v>
      </c>
      <c r="P144" s="86">
        <v>1</v>
      </c>
      <c r="Q144" s="87">
        <f t="shared" si="38"/>
        <v>20</v>
      </c>
      <c r="R144" s="86">
        <v>1</v>
      </c>
      <c r="S144" s="86">
        <v>18</v>
      </c>
      <c r="T144" s="86">
        <v>1</v>
      </c>
      <c r="U144" s="86">
        <v>0</v>
      </c>
      <c r="V144" s="86">
        <v>20</v>
      </c>
      <c r="W144" s="86">
        <v>0</v>
      </c>
      <c r="X144" s="86">
        <v>16</v>
      </c>
      <c r="Y144" s="86">
        <v>16</v>
      </c>
      <c r="Z144" s="86">
        <v>14</v>
      </c>
      <c r="AA144" s="86">
        <v>1</v>
      </c>
      <c r="AB144" s="86">
        <v>0</v>
      </c>
      <c r="AC144" s="88">
        <v>0</v>
      </c>
      <c r="AD144" s="86">
        <v>20</v>
      </c>
      <c r="AE144" s="86">
        <v>0</v>
      </c>
      <c r="AF144" s="86">
        <v>0</v>
      </c>
      <c r="AG144" s="86">
        <v>0</v>
      </c>
      <c r="AH144" s="86">
        <v>0</v>
      </c>
      <c r="AI144" s="86">
        <v>0</v>
      </c>
      <c r="AJ144" s="86">
        <v>0</v>
      </c>
    </row>
    <row r="145" spans="1:37">
      <c r="A145" s="84">
        <v>7</v>
      </c>
      <c r="B145" s="85" t="s">
        <v>112</v>
      </c>
      <c r="C145" s="86">
        <v>4</v>
      </c>
      <c r="D145" s="86">
        <v>2</v>
      </c>
      <c r="E145" s="86">
        <v>5</v>
      </c>
      <c r="F145" s="86">
        <v>8</v>
      </c>
      <c r="G145" s="86">
        <v>12</v>
      </c>
      <c r="H145" s="86">
        <v>2</v>
      </c>
      <c r="I145" s="86">
        <v>8</v>
      </c>
      <c r="J145" s="86">
        <v>2</v>
      </c>
      <c r="K145" s="86">
        <v>6</v>
      </c>
      <c r="L145" s="86">
        <v>3</v>
      </c>
      <c r="M145" s="86">
        <v>5</v>
      </c>
      <c r="N145" s="86">
        <v>6</v>
      </c>
      <c r="O145" s="86">
        <v>6</v>
      </c>
      <c r="P145" s="86">
        <v>7</v>
      </c>
      <c r="Q145" s="87">
        <f>P145+O145+N145+M145+L145+K145+J145+I145+H145+G145+F145+E145+D145+C145</f>
        <v>76</v>
      </c>
      <c r="R145" s="86">
        <v>0</v>
      </c>
      <c r="S145" s="86">
        <v>0</v>
      </c>
      <c r="T145" s="86">
        <v>2</v>
      </c>
      <c r="U145" s="86">
        <v>74</v>
      </c>
      <c r="V145" s="86">
        <v>76</v>
      </c>
      <c r="W145" s="86">
        <v>0</v>
      </c>
      <c r="X145" s="86">
        <v>53</v>
      </c>
      <c r="Y145" s="86">
        <v>53</v>
      </c>
      <c r="Z145" s="86">
        <v>39</v>
      </c>
      <c r="AA145" s="86">
        <v>34</v>
      </c>
      <c r="AB145" s="86">
        <v>1</v>
      </c>
      <c r="AC145" s="88">
        <v>0</v>
      </c>
      <c r="AD145" s="86">
        <v>76</v>
      </c>
      <c r="AE145" s="86">
        <v>0</v>
      </c>
      <c r="AF145" s="86">
        <v>0</v>
      </c>
      <c r="AG145" s="86">
        <v>0</v>
      </c>
      <c r="AH145" s="86">
        <v>0</v>
      </c>
      <c r="AI145" s="86">
        <v>0</v>
      </c>
      <c r="AJ145" s="86">
        <v>0</v>
      </c>
    </row>
    <row r="146" spans="1:37">
      <c r="A146" s="84">
        <v>8</v>
      </c>
      <c r="B146" s="85" t="s">
        <v>113</v>
      </c>
      <c r="C146" s="86">
        <v>1</v>
      </c>
      <c r="D146" s="86">
        <v>1</v>
      </c>
      <c r="E146" s="86">
        <v>0</v>
      </c>
      <c r="F146" s="86">
        <v>0</v>
      </c>
      <c r="G146" s="86">
        <v>1</v>
      </c>
      <c r="H146" s="86">
        <v>0</v>
      </c>
      <c r="I146" s="86">
        <v>0</v>
      </c>
      <c r="J146" s="86">
        <v>0</v>
      </c>
      <c r="K146" s="86">
        <v>1</v>
      </c>
      <c r="L146" s="86">
        <v>1</v>
      </c>
      <c r="M146" s="86">
        <v>0</v>
      </c>
      <c r="N146" s="86">
        <v>6</v>
      </c>
      <c r="O146" s="86">
        <v>3</v>
      </c>
      <c r="P146" s="86">
        <v>0</v>
      </c>
      <c r="Q146" s="87">
        <f t="shared" ref="Q146:Q152" si="39">SUM(C146:P146)</f>
        <v>14</v>
      </c>
      <c r="R146" s="86">
        <v>14</v>
      </c>
      <c r="S146" s="86">
        <v>0</v>
      </c>
      <c r="T146" s="86">
        <v>0</v>
      </c>
      <c r="U146" s="86">
        <v>0</v>
      </c>
      <c r="V146" s="86">
        <v>14</v>
      </c>
      <c r="W146" s="86">
        <v>0</v>
      </c>
      <c r="X146" s="86">
        <v>10</v>
      </c>
      <c r="Y146" s="86">
        <v>10</v>
      </c>
      <c r="Z146" s="86">
        <v>13</v>
      </c>
      <c r="AA146" s="86">
        <v>6</v>
      </c>
      <c r="AB146" s="86">
        <v>0</v>
      </c>
      <c r="AC146" s="88">
        <v>0</v>
      </c>
      <c r="AD146" s="86">
        <v>13</v>
      </c>
      <c r="AE146" s="86">
        <v>1</v>
      </c>
      <c r="AF146" s="86">
        <v>0</v>
      </c>
      <c r="AG146" s="86">
        <v>0</v>
      </c>
      <c r="AH146" s="86">
        <v>0</v>
      </c>
      <c r="AI146" s="86">
        <v>0</v>
      </c>
      <c r="AJ146" s="86">
        <v>0</v>
      </c>
    </row>
    <row r="147" spans="1:37">
      <c r="A147" s="84">
        <v>9</v>
      </c>
      <c r="B147" s="85" t="s">
        <v>114</v>
      </c>
      <c r="C147" s="86">
        <v>1</v>
      </c>
      <c r="D147" s="86">
        <v>3</v>
      </c>
      <c r="E147" s="86">
        <v>3</v>
      </c>
      <c r="F147" s="86">
        <v>0</v>
      </c>
      <c r="G147" s="86">
        <v>4</v>
      </c>
      <c r="H147" s="86">
        <v>3</v>
      </c>
      <c r="I147" s="86">
        <v>2</v>
      </c>
      <c r="J147" s="86">
        <v>0</v>
      </c>
      <c r="K147" s="86">
        <v>5</v>
      </c>
      <c r="L147" s="86">
        <v>1</v>
      </c>
      <c r="M147" s="86">
        <v>1</v>
      </c>
      <c r="N147" s="86">
        <v>2</v>
      </c>
      <c r="O147" s="86">
        <v>2</v>
      </c>
      <c r="P147" s="86">
        <v>4</v>
      </c>
      <c r="Q147" s="87">
        <f t="shared" si="39"/>
        <v>31</v>
      </c>
      <c r="R147" s="86">
        <v>0</v>
      </c>
      <c r="S147" s="86">
        <v>0</v>
      </c>
      <c r="T147" s="86">
        <v>2</v>
      </c>
      <c r="U147" s="86">
        <v>29</v>
      </c>
      <c r="V147" s="86">
        <v>31</v>
      </c>
      <c r="W147" s="86">
        <v>0</v>
      </c>
      <c r="X147" s="86">
        <v>18</v>
      </c>
      <c r="Y147" s="86">
        <v>18</v>
      </c>
      <c r="Z147" s="86">
        <v>18</v>
      </c>
      <c r="AA147" s="86">
        <v>14</v>
      </c>
      <c r="AB147" s="86">
        <v>0</v>
      </c>
      <c r="AC147" s="88">
        <v>0</v>
      </c>
      <c r="AD147" s="86">
        <v>27</v>
      </c>
      <c r="AE147" s="86">
        <v>4</v>
      </c>
      <c r="AF147" s="86">
        <v>0</v>
      </c>
      <c r="AG147" s="86">
        <v>0</v>
      </c>
      <c r="AH147" s="86">
        <v>4</v>
      </c>
      <c r="AI147" s="86">
        <v>4</v>
      </c>
      <c r="AJ147" s="86">
        <v>0</v>
      </c>
    </row>
    <row r="148" spans="1:37">
      <c r="A148" s="84">
        <v>10</v>
      </c>
      <c r="B148" s="85" t="s">
        <v>115</v>
      </c>
      <c r="C148" s="86">
        <v>0</v>
      </c>
      <c r="D148" s="86">
        <v>0</v>
      </c>
      <c r="E148" s="86">
        <v>1</v>
      </c>
      <c r="F148" s="86">
        <v>1</v>
      </c>
      <c r="G148" s="86">
        <v>1</v>
      </c>
      <c r="H148" s="86">
        <v>0</v>
      </c>
      <c r="I148" s="86">
        <v>0</v>
      </c>
      <c r="J148" s="86">
        <v>0</v>
      </c>
      <c r="K148" s="86">
        <v>0</v>
      </c>
      <c r="L148" s="86">
        <v>1</v>
      </c>
      <c r="M148" s="86">
        <v>0</v>
      </c>
      <c r="N148" s="86">
        <v>1</v>
      </c>
      <c r="O148" s="86">
        <v>0</v>
      </c>
      <c r="P148" s="86">
        <v>1</v>
      </c>
      <c r="Q148" s="87">
        <f t="shared" si="39"/>
        <v>6</v>
      </c>
      <c r="R148" s="86">
        <v>6</v>
      </c>
      <c r="S148" s="86">
        <v>0</v>
      </c>
      <c r="T148" s="86">
        <v>0</v>
      </c>
      <c r="U148" s="86">
        <v>0</v>
      </c>
      <c r="V148" s="86">
        <v>6</v>
      </c>
      <c r="W148" s="86">
        <v>0</v>
      </c>
      <c r="X148" s="86">
        <v>6</v>
      </c>
      <c r="Y148" s="86">
        <v>6</v>
      </c>
      <c r="Z148" s="86">
        <v>6</v>
      </c>
      <c r="AA148" s="86">
        <v>11</v>
      </c>
      <c r="AB148" s="86">
        <v>0</v>
      </c>
      <c r="AC148" s="88">
        <v>0</v>
      </c>
      <c r="AD148" s="86">
        <v>6</v>
      </c>
      <c r="AE148" s="86">
        <v>0</v>
      </c>
      <c r="AF148" s="86">
        <v>0</v>
      </c>
      <c r="AG148" s="86">
        <v>0</v>
      </c>
      <c r="AH148" s="86">
        <v>0</v>
      </c>
      <c r="AI148" s="86">
        <v>0</v>
      </c>
      <c r="AJ148" s="86">
        <v>0</v>
      </c>
    </row>
    <row r="149" spans="1:37">
      <c r="A149" s="84">
        <v>11</v>
      </c>
      <c r="B149" s="85" t="s">
        <v>116</v>
      </c>
      <c r="C149" s="86">
        <v>0</v>
      </c>
      <c r="D149" s="86">
        <v>1</v>
      </c>
      <c r="E149" s="86">
        <v>1</v>
      </c>
      <c r="F149" s="86">
        <v>1</v>
      </c>
      <c r="G149" s="86">
        <v>1</v>
      </c>
      <c r="H149" s="86">
        <v>0</v>
      </c>
      <c r="I149" s="86">
        <v>1</v>
      </c>
      <c r="J149" s="86">
        <v>1</v>
      </c>
      <c r="K149" s="86">
        <v>0</v>
      </c>
      <c r="L149" s="86">
        <v>0</v>
      </c>
      <c r="M149" s="86">
        <v>0</v>
      </c>
      <c r="N149" s="86">
        <v>1</v>
      </c>
      <c r="O149" s="86">
        <v>2</v>
      </c>
      <c r="P149" s="86">
        <v>0</v>
      </c>
      <c r="Q149" s="87">
        <f t="shared" si="39"/>
        <v>9</v>
      </c>
      <c r="R149" s="86">
        <v>9</v>
      </c>
      <c r="S149" s="86"/>
      <c r="T149" s="86">
        <v>0</v>
      </c>
      <c r="U149" s="86">
        <v>0</v>
      </c>
      <c r="V149" s="86">
        <v>6</v>
      </c>
      <c r="W149" s="86">
        <v>3</v>
      </c>
      <c r="X149" s="86">
        <v>6</v>
      </c>
      <c r="Y149" s="86">
        <v>6</v>
      </c>
      <c r="Z149" s="86">
        <v>5</v>
      </c>
      <c r="AA149" s="86">
        <v>6</v>
      </c>
      <c r="AB149" s="86">
        <v>0</v>
      </c>
      <c r="AC149" s="88">
        <v>0</v>
      </c>
      <c r="AD149" s="86">
        <v>7</v>
      </c>
      <c r="AE149" s="86">
        <v>2</v>
      </c>
      <c r="AF149" s="86">
        <v>0</v>
      </c>
      <c r="AG149" s="86">
        <v>0</v>
      </c>
      <c r="AH149" s="86">
        <v>0</v>
      </c>
      <c r="AI149" s="86">
        <v>0</v>
      </c>
      <c r="AJ149" s="86">
        <v>0</v>
      </c>
    </row>
    <row r="150" spans="1:37">
      <c r="A150" s="84">
        <v>12</v>
      </c>
      <c r="B150" s="85" t="s">
        <v>117</v>
      </c>
      <c r="C150" s="86">
        <v>2</v>
      </c>
      <c r="D150" s="86">
        <v>2</v>
      </c>
      <c r="E150" s="86">
        <v>2</v>
      </c>
      <c r="F150" s="86">
        <v>0</v>
      </c>
      <c r="G150" s="86">
        <v>0</v>
      </c>
      <c r="H150" s="86">
        <v>2</v>
      </c>
      <c r="I150" s="86">
        <v>1</v>
      </c>
      <c r="J150" s="86">
        <v>0</v>
      </c>
      <c r="K150" s="86">
        <v>1</v>
      </c>
      <c r="L150" s="86">
        <v>0</v>
      </c>
      <c r="M150" s="86">
        <v>0</v>
      </c>
      <c r="N150" s="86">
        <v>1</v>
      </c>
      <c r="O150" s="86">
        <v>1</v>
      </c>
      <c r="P150" s="86">
        <v>0</v>
      </c>
      <c r="Q150" s="87">
        <f t="shared" si="39"/>
        <v>12</v>
      </c>
      <c r="R150" s="86">
        <v>12</v>
      </c>
      <c r="S150" s="86"/>
      <c r="T150" s="86"/>
      <c r="U150" s="86"/>
      <c r="V150" s="86">
        <v>12</v>
      </c>
      <c r="W150" s="86">
        <v>0</v>
      </c>
      <c r="X150" s="86">
        <v>3</v>
      </c>
      <c r="Y150" s="86">
        <v>3</v>
      </c>
      <c r="Z150" s="86">
        <v>3</v>
      </c>
      <c r="AA150" s="86">
        <v>3</v>
      </c>
      <c r="AB150" s="86">
        <v>0</v>
      </c>
      <c r="AC150" s="88">
        <v>0</v>
      </c>
      <c r="AD150" s="86">
        <v>12</v>
      </c>
      <c r="AE150" s="86">
        <v>0</v>
      </c>
      <c r="AF150" s="86">
        <v>0</v>
      </c>
      <c r="AG150" s="86">
        <v>0</v>
      </c>
      <c r="AH150" s="86">
        <v>0</v>
      </c>
      <c r="AI150" s="86">
        <v>0</v>
      </c>
      <c r="AJ150" s="86">
        <v>0</v>
      </c>
    </row>
    <row r="151" spans="1:37">
      <c r="A151" s="84">
        <v>13</v>
      </c>
      <c r="B151" s="85" t="s">
        <v>118</v>
      </c>
      <c r="C151" s="86">
        <v>0</v>
      </c>
      <c r="D151" s="86">
        <v>0</v>
      </c>
      <c r="E151" s="86">
        <v>0</v>
      </c>
      <c r="F151" s="86">
        <v>0</v>
      </c>
      <c r="G151" s="86">
        <v>0</v>
      </c>
      <c r="H151" s="86">
        <v>0</v>
      </c>
      <c r="I151" s="86">
        <v>0</v>
      </c>
      <c r="J151" s="86">
        <v>0</v>
      </c>
      <c r="K151" s="86">
        <v>0</v>
      </c>
      <c r="L151" s="86">
        <v>0</v>
      </c>
      <c r="M151" s="86">
        <v>0</v>
      </c>
      <c r="N151" s="86">
        <v>0</v>
      </c>
      <c r="O151" s="86">
        <v>0</v>
      </c>
      <c r="P151" s="86">
        <v>1</v>
      </c>
      <c r="Q151" s="87">
        <f t="shared" si="39"/>
        <v>1</v>
      </c>
      <c r="R151" s="86">
        <v>0</v>
      </c>
      <c r="S151" s="86">
        <v>0</v>
      </c>
      <c r="T151" s="86">
        <v>1</v>
      </c>
      <c r="U151" s="86">
        <v>0</v>
      </c>
      <c r="V151" s="86">
        <v>1</v>
      </c>
      <c r="W151" s="86">
        <v>0</v>
      </c>
      <c r="X151" s="86">
        <v>0</v>
      </c>
      <c r="Y151" s="86">
        <v>0</v>
      </c>
      <c r="Z151" s="86">
        <v>0</v>
      </c>
      <c r="AA151" s="86">
        <v>0</v>
      </c>
      <c r="AB151" s="86">
        <v>0</v>
      </c>
      <c r="AC151" s="88">
        <v>0</v>
      </c>
      <c r="AD151" s="86">
        <v>1</v>
      </c>
      <c r="AE151" s="86">
        <v>0</v>
      </c>
      <c r="AF151" s="86">
        <v>0</v>
      </c>
      <c r="AG151" s="86">
        <v>0</v>
      </c>
      <c r="AH151" s="86">
        <v>0</v>
      </c>
      <c r="AI151" s="86">
        <v>0</v>
      </c>
      <c r="AJ151" s="86">
        <v>0</v>
      </c>
    </row>
    <row r="152" spans="1:37">
      <c r="A152" s="124" t="s">
        <v>31</v>
      </c>
      <c r="B152" s="125"/>
      <c r="C152" s="89">
        <f>SUM(C139:C151)</f>
        <v>22</v>
      </c>
      <c r="D152" s="89">
        <f t="shared" ref="D152:M152" si="40">SUM(D139:D151)</f>
        <v>31</v>
      </c>
      <c r="E152" s="89">
        <f t="shared" si="40"/>
        <v>37</v>
      </c>
      <c r="F152" s="89">
        <f t="shared" si="40"/>
        <v>16</v>
      </c>
      <c r="G152" s="89">
        <f t="shared" si="40"/>
        <v>50</v>
      </c>
      <c r="H152" s="89">
        <f t="shared" si="40"/>
        <v>27</v>
      </c>
      <c r="I152" s="89">
        <f t="shared" si="40"/>
        <v>21</v>
      </c>
      <c r="J152" s="89">
        <f t="shared" si="40"/>
        <v>8</v>
      </c>
      <c r="K152" s="89">
        <f t="shared" si="40"/>
        <v>24</v>
      </c>
      <c r="L152" s="89">
        <f t="shared" si="40"/>
        <v>14</v>
      </c>
      <c r="M152" s="89">
        <f t="shared" si="40"/>
        <v>10</v>
      </c>
      <c r="N152" s="89">
        <f>SUM(N139:N151)</f>
        <v>50</v>
      </c>
      <c r="O152" s="89">
        <f t="shared" ref="O152:P152" si="41">SUM(O139:O151)</f>
        <v>50</v>
      </c>
      <c r="P152" s="89">
        <f t="shared" si="41"/>
        <v>27</v>
      </c>
      <c r="Q152" s="87">
        <f t="shared" si="39"/>
        <v>387</v>
      </c>
      <c r="R152" s="89">
        <f t="shared" ref="R152:AB152" si="42">SUM(R139:R151)</f>
        <v>91</v>
      </c>
      <c r="S152" s="89">
        <f t="shared" si="42"/>
        <v>36</v>
      </c>
      <c r="T152" s="89">
        <f t="shared" si="42"/>
        <v>8</v>
      </c>
      <c r="U152" s="89">
        <f t="shared" si="42"/>
        <v>251</v>
      </c>
      <c r="V152" s="89">
        <f t="shared" si="42"/>
        <v>384</v>
      </c>
      <c r="W152" s="89">
        <f t="shared" si="42"/>
        <v>3</v>
      </c>
      <c r="X152" s="89">
        <f t="shared" si="42"/>
        <v>277</v>
      </c>
      <c r="Y152" s="89">
        <f t="shared" si="42"/>
        <v>277</v>
      </c>
      <c r="Z152" s="89">
        <f t="shared" si="42"/>
        <v>224</v>
      </c>
      <c r="AA152" s="89">
        <f t="shared" si="42"/>
        <v>145</v>
      </c>
      <c r="AB152" s="89">
        <f t="shared" si="42"/>
        <v>1</v>
      </c>
      <c r="AC152" s="90">
        <v>0</v>
      </c>
      <c r="AD152" s="89">
        <f t="shared" ref="AD152:AJ152" si="43">SUM(AD139:AD151)</f>
        <v>306</v>
      </c>
      <c r="AE152" s="89">
        <f t="shared" si="43"/>
        <v>24</v>
      </c>
      <c r="AF152" s="89">
        <f t="shared" si="43"/>
        <v>0</v>
      </c>
      <c r="AG152" s="89">
        <f t="shared" si="43"/>
        <v>0</v>
      </c>
      <c r="AH152" s="89">
        <f t="shared" si="43"/>
        <v>6</v>
      </c>
      <c r="AI152" s="89">
        <f t="shared" si="43"/>
        <v>5</v>
      </c>
      <c r="AJ152" s="89">
        <f t="shared" si="43"/>
        <v>0</v>
      </c>
    </row>
    <row r="153" spans="1:37">
      <c r="AK153" s="72" t="s">
        <v>124</v>
      </c>
    </row>
  </sheetData>
  <mergeCells count="81">
    <mergeCell ref="AB135:AB137"/>
    <mergeCell ref="AC135:AC137"/>
    <mergeCell ref="AD135:AG135"/>
    <mergeCell ref="B135:B137"/>
    <mergeCell ref="C135:P135"/>
    <mergeCell ref="Q135:Q137"/>
    <mergeCell ref="R135:U135"/>
    <mergeCell ref="V135:AA135"/>
    <mergeCell ref="AH135:AH137"/>
    <mergeCell ref="AI135:AI137"/>
    <mergeCell ref="AJ135:AJ137"/>
    <mergeCell ref="AG136:AG137"/>
    <mergeCell ref="A152:B152"/>
    <mergeCell ref="V136:W136"/>
    <mergeCell ref="X136:Y136"/>
    <mergeCell ref="AD136:AD137"/>
    <mergeCell ref="AE136:AE137"/>
    <mergeCell ref="AF136:AF137"/>
    <mergeCell ref="C136:I136"/>
    <mergeCell ref="J136:P136"/>
    <mergeCell ref="R136:R137"/>
    <mergeCell ref="S136:S137"/>
    <mergeCell ref="T136:U136"/>
    <mergeCell ref="A135:A137"/>
    <mergeCell ref="A119:B119"/>
    <mergeCell ref="A130:AJ130"/>
    <mergeCell ref="A132:B132"/>
    <mergeCell ref="A133:B133"/>
    <mergeCell ref="R103:R104"/>
    <mergeCell ref="S103:S104"/>
    <mergeCell ref="T103:U103"/>
    <mergeCell ref="V103:W103"/>
    <mergeCell ref="X103:Y103"/>
    <mergeCell ref="AD103:AD104"/>
    <mergeCell ref="AE103:AE104"/>
    <mergeCell ref="AF103:AF104"/>
    <mergeCell ref="AG103:AG104"/>
    <mergeCell ref="A102:A104"/>
    <mergeCell ref="B102:B104"/>
    <mergeCell ref="C102:P102"/>
    <mergeCell ref="V8:W8"/>
    <mergeCell ref="V7:AA7"/>
    <mergeCell ref="AJ102:AJ104"/>
    <mergeCell ref="C103:I103"/>
    <mergeCell ref="J103:P103"/>
    <mergeCell ref="A97:AJ97"/>
    <mergeCell ref="A99:B99"/>
    <mergeCell ref="A100:B100"/>
    <mergeCell ref="V102:AA102"/>
    <mergeCell ref="AB102:AB104"/>
    <mergeCell ref="AC102:AC104"/>
    <mergeCell ref="AD102:AG102"/>
    <mergeCell ref="AH102:AH104"/>
    <mergeCell ref="Q102:Q104"/>
    <mergeCell ref="R102:U102"/>
    <mergeCell ref="AI102:AI104"/>
    <mergeCell ref="A2:AJ2"/>
    <mergeCell ref="A4:B4"/>
    <mergeCell ref="A5:B5"/>
    <mergeCell ref="C7:P7"/>
    <mergeCell ref="AD7:AG7"/>
    <mergeCell ref="AC7:AC9"/>
    <mergeCell ref="AD8:AD9"/>
    <mergeCell ref="AE8:AE9"/>
    <mergeCell ref="AF8:AF9"/>
    <mergeCell ref="AG8:AG9"/>
    <mergeCell ref="AH7:AH9"/>
    <mergeCell ref="AI7:AI9"/>
    <mergeCell ref="AJ7:AJ9"/>
    <mergeCell ref="X8:Y8"/>
    <mergeCell ref="Q7:Q9"/>
    <mergeCell ref="AB7:AB9"/>
    <mergeCell ref="A24:B24"/>
    <mergeCell ref="A7:A9"/>
    <mergeCell ref="B7:B9"/>
    <mergeCell ref="R7:U7"/>
    <mergeCell ref="R8:R9"/>
    <mergeCell ref="S8:S9"/>
    <mergeCell ref="T8:U8"/>
    <mergeCell ref="C8:I8"/>
    <mergeCell ref="J8:P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22B9-F98D-4AFB-8F47-741578514ED5}">
  <dimension ref="A1:AJ25"/>
  <sheetViews>
    <sheetView topLeftCell="A7" workbookViewId="0">
      <selection activeCell="M13" sqref="M13"/>
    </sheetView>
  </sheetViews>
  <sheetFormatPr defaultRowHeight="15"/>
  <cols>
    <col min="1" max="1" width="6.28515625" customWidth="1"/>
    <col min="2" max="2" width="13.140625" customWidth="1"/>
    <col min="3" max="3" width="4.42578125" customWidth="1"/>
    <col min="4" max="4" width="6.28515625" customWidth="1"/>
    <col min="5" max="5" width="6.140625" customWidth="1"/>
    <col min="6" max="6" width="6.5703125" customWidth="1"/>
    <col min="7" max="8" width="6.42578125" customWidth="1"/>
    <col min="9" max="9" width="5.28515625" customWidth="1"/>
    <col min="10" max="10" width="4.85546875" customWidth="1"/>
    <col min="11" max="11" width="5" customWidth="1"/>
    <col min="12" max="12" width="6" customWidth="1"/>
    <col min="13" max="13" width="6.28515625" customWidth="1"/>
    <col min="14" max="14" width="6" customWidth="1"/>
    <col min="15" max="15" width="5.5703125" customWidth="1"/>
    <col min="16" max="16" width="5.85546875" customWidth="1"/>
    <col min="17" max="17" width="7.85546875" customWidth="1"/>
    <col min="18" max="36" width="5.7109375" customWidth="1"/>
  </cols>
  <sheetData>
    <row r="1" spans="1:36" s="72" customFormat="1" ht="16.5"/>
    <row r="2" spans="1:36" s="72" customFormat="1" ht="20.25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1:36" s="72" customFormat="1" ht="16.5"/>
    <row r="4" spans="1:36" s="72" customFormat="1" ht="16.5">
      <c r="A4" s="140" t="s">
        <v>38</v>
      </c>
      <c r="B4" s="140"/>
      <c r="C4" s="72" t="s">
        <v>40</v>
      </c>
      <c r="D4" s="72" t="s">
        <v>104</v>
      </c>
    </row>
    <row r="5" spans="1:36" s="72" customFormat="1" ht="16.5">
      <c r="A5" s="140" t="s">
        <v>1</v>
      </c>
      <c r="B5" s="140"/>
      <c r="C5" s="72" t="s">
        <v>105</v>
      </c>
    </row>
    <row r="6" spans="1:36" s="72" customFormat="1" ht="16.5">
      <c r="A6" s="73" t="s">
        <v>2</v>
      </c>
      <c r="B6" s="73"/>
      <c r="D6" s="74">
        <v>2025</v>
      </c>
    </row>
    <row r="7" spans="1:36" s="72" customFormat="1" ht="14.45" customHeight="1">
      <c r="A7" s="148" t="s">
        <v>3</v>
      </c>
      <c r="B7" s="148" t="s">
        <v>106</v>
      </c>
      <c r="C7" s="151" t="s">
        <v>4</v>
      </c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3"/>
      <c r="Q7" s="142" t="s">
        <v>5</v>
      </c>
      <c r="R7" s="129" t="s">
        <v>32</v>
      </c>
      <c r="S7" s="130"/>
      <c r="T7" s="130"/>
      <c r="U7" s="131"/>
      <c r="V7" s="136" t="s">
        <v>6</v>
      </c>
      <c r="W7" s="137"/>
      <c r="X7" s="137"/>
      <c r="Y7" s="137"/>
      <c r="Z7" s="137"/>
      <c r="AA7" s="138"/>
      <c r="AB7" s="126" t="s">
        <v>7</v>
      </c>
      <c r="AC7" s="141" t="s">
        <v>8</v>
      </c>
      <c r="AD7" s="136" t="s">
        <v>9</v>
      </c>
      <c r="AE7" s="137"/>
      <c r="AF7" s="137"/>
      <c r="AG7" s="138"/>
      <c r="AH7" s="142" t="s">
        <v>10</v>
      </c>
      <c r="AI7" s="142" t="s">
        <v>11</v>
      </c>
      <c r="AJ7" s="145" t="s">
        <v>12</v>
      </c>
    </row>
    <row r="8" spans="1:36" s="72" customFormat="1" ht="32.25" customHeight="1">
      <c r="A8" s="149"/>
      <c r="B8" s="149"/>
      <c r="C8" s="151" t="s">
        <v>13</v>
      </c>
      <c r="D8" s="152"/>
      <c r="E8" s="152"/>
      <c r="F8" s="152"/>
      <c r="G8" s="152"/>
      <c r="H8" s="152"/>
      <c r="I8" s="153"/>
      <c r="J8" s="151" t="s">
        <v>14</v>
      </c>
      <c r="K8" s="152"/>
      <c r="L8" s="152"/>
      <c r="M8" s="152"/>
      <c r="N8" s="152"/>
      <c r="O8" s="152"/>
      <c r="P8" s="153"/>
      <c r="Q8" s="144"/>
      <c r="R8" s="132" t="s">
        <v>35</v>
      </c>
      <c r="S8" s="132" t="s">
        <v>36</v>
      </c>
      <c r="T8" s="134" t="s">
        <v>37</v>
      </c>
      <c r="U8" s="135"/>
      <c r="V8" s="146" t="s">
        <v>15</v>
      </c>
      <c r="W8" s="147"/>
      <c r="X8" s="145" t="s">
        <v>16</v>
      </c>
      <c r="Y8" s="145"/>
      <c r="Z8" s="75" t="s">
        <v>17</v>
      </c>
      <c r="AA8" s="75" t="s">
        <v>18</v>
      </c>
      <c r="AB8" s="127"/>
      <c r="AC8" s="141"/>
      <c r="AD8" s="126" t="s">
        <v>19</v>
      </c>
      <c r="AE8" s="126" t="s">
        <v>20</v>
      </c>
      <c r="AF8" s="126" t="s">
        <v>21</v>
      </c>
      <c r="AG8" s="142" t="s">
        <v>22</v>
      </c>
      <c r="AH8" s="144"/>
      <c r="AI8" s="144"/>
      <c r="AJ8" s="145"/>
    </row>
    <row r="9" spans="1:36" s="81" customFormat="1" ht="45.75" customHeight="1">
      <c r="A9" s="150"/>
      <c r="B9" s="150"/>
      <c r="C9" s="114" t="s">
        <v>23</v>
      </c>
      <c r="D9" s="115" t="s">
        <v>24</v>
      </c>
      <c r="E9" s="116" t="s">
        <v>25</v>
      </c>
      <c r="F9" s="117" t="s">
        <v>26</v>
      </c>
      <c r="G9" s="117" t="s">
        <v>27</v>
      </c>
      <c r="H9" s="117" t="s">
        <v>28</v>
      </c>
      <c r="I9" s="114" t="s">
        <v>29</v>
      </c>
      <c r="J9" s="114" t="s">
        <v>23</v>
      </c>
      <c r="K9" s="115" t="s">
        <v>24</v>
      </c>
      <c r="L9" s="116" t="s">
        <v>25</v>
      </c>
      <c r="M9" s="117" t="s">
        <v>26</v>
      </c>
      <c r="N9" s="117" t="s">
        <v>27</v>
      </c>
      <c r="O9" s="117" t="s">
        <v>28</v>
      </c>
      <c r="P9" s="114" t="s">
        <v>29</v>
      </c>
      <c r="Q9" s="143"/>
      <c r="R9" s="133"/>
      <c r="S9" s="133"/>
      <c r="T9" s="79" t="s">
        <v>33</v>
      </c>
      <c r="U9" s="79" t="s">
        <v>34</v>
      </c>
      <c r="V9" s="80" t="s">
        <v>42</v>
      </c>
      <c r="W9" s="80" t="s">
        <v>41</v>
      </c>
      <c r="X9" s="75" t="s">
        <v>30</v>
      </c>
      <c r="Y9" s="75" t="s">
        <v>30</v>
      </c>
      <c r="Z9" s="75" t="s">
        <v>30</v>
      </c>
      <c r="AA9" s="75" t="s">
        <v>30</v>
      </c>
      <c r="AB9" s="128"/>
      <c r="AC9" s="141"/>
      <c r="AD9" s="128"/>
      <c r="AE9" s="128"/>
      <c r="AF9" s="128"/>
      <c r="AG9" s="143"/>
      <c r="AH9" s="143"/>
      <c r="AI9" s="143"/>
      <c r="AJ9" s="145"/>
    </row>
    <row r="10" spans="1:36" s="81" customFormat="1" ht="45.75" customHeight="1">
      <c r="A10" s="118">
        <v>1</v>
      </c>
      <c r="B10" s="118">
        <v>2</v>
      </c>
      <c r="C10" s="119">
        <v>3</v>
      </c>
      <c r="D10" s="118">
        <v>4</v>
      </c>
      <c r="E10" s="118">
        <v>5</v>
      </c>
      <c r="F10" s="119">
        <v>6</v>
      </c>
      <c r="G10" s="118">
        <v>7</v>
      </c>
      <c r="H10" s="118">
        <v>8</v>
      </c>
      <c r="I10" s="119">
        <v>9</v>
      </c>
      <c r="J10" s="118">
        <v>10</v>
      </c>
      <c r="K10" s="118">
        <v>11</v>
      </c>
      <c r="L10" s="119">
        <v>12</v>
      </c>
      <c r="M10" s="118">
        <v>13</v>
      </c>
      <c r="N10" s="118">
        <v>14</v>
      </c>
      <c r="O10" s="119">
        <v>15</v>
      </c>
      <c r="P10" s="118">
        <v>16</v>
      </c>
      <c r="Q10" s="82">
        <v>17</v>
      </c>
      <c r="R10" s="83">
        <v>18</v>
      </c>
      <c r="S10" s="82">
        <v>19</v>
      </c>
      <c r="T10" s="82">
        <v>20</v>
      </c>
      <c r="U10" s="83">
        <v>21</v>
      </c>
      <c r="V10" s="82">
        <v>22</v>
      </c>
      <c r="W10" s="82">
        <v>23</v>
      </c>
      <c r="X10" s="83">
        <v>24</v>
      </c>
      <c r="Y10" s="82">
        <v>25</v>
      </c>
      <c r="Z10" s="82">
        <v>26</v>
      </c>
      <c r="AA10" s="83">
        <v>27</v>
      </c>
      <c r="AB10" s="82">
        <v>28</v>
      </c>
      <c r="AC10" s="82">
        <v>29</v>
      </c>
      <c r="AD10" s="83">
        <v>30</v>
      </c>
      <c r="AE10" s="82">
        <v>31</v>
      </c>
      <c r="AF10" s="82">
        <v>32</v>
      </c>
      <c r="AG10" s="83">
        <v>33</v>
      </c>
      <c r="AH10" s="82">
        <v>34</v>
      </c>
      <c r="AI10" s="82">
        <v>35</v>
      </c>
      <c r="AJ10" s="82">
        <v>36</v>
      </c>
    </row>
    <row r="11" spans="1:36" s="72" customFormat="1" ht="16.5">
      <c r="A11" s="120">
        <v>1</v>
      </c>
      <c r="B11" s="121" t="s">
        <v>107</v>
      </c>
      <c r="C11" s="122">
        <v>1</v>
      </c>
      <c r="D11" s="122">
        <v>1</v>
      </c>
      <c r="E11" s="122">
        <v>3</v>
      </c>
      <c r="F11" s="122">
        <v>1</v>
      </c>
      <c r="G11" s="122">
        <v>3</v>
      </c>
      <c r="H11" s="122">
        <v>0</v>
      </c>
      <c r="I11" s="122">
        <v>0</v>
      </c>
      <c r="J11" s="122">
        <v>1</v>
      </c>
      <c r="K11" s="122">
        <v>0</v>
      </c>
      <c r="L11" s="122">
        <v>0</v>
      </c>
      <c r="M11" s="122">
        <v>1</v>
      </c>
      <c r="N11" s="122">
        <v>5</v>
      </c>
      <c r="O11" s="122">
        <v>4</v>
      </c>
      <c r="P11" s="122">
        <v>2</v>
      </c>
      <c r="Q11" s="87">
        <f>SUM(C11:P11)</f>
        <v>22</v>
      </c>
      <c r="R11" s="86">
        <v>1</v>
      </c>
      <c r="S11" s="86">
        <v>0</v>
      </c>
      <c r="T11" s="86">
        <v>0</v>
      </c>
      <c r="U11" s="86">
        <v>21</v>
      </c>
      <c r="V11" s="86">
        <v>22</v>
      </c>
      <c r="W11" s="86">
        <v>0</v>
      </c>
      <c r="X11" s="86">
        <v>20</v>
      </c>
      <c r="Y11" s="86">
        <v>20</v>
      </c>
      <c r="Z11" s="86">
        <v>17</v>
      </c>
      <c r="AA11" s="86">
        <v>19</v>
      </c>
      <c r="AB11" s="86">
        <v>0</v>
      </c>
      <c r="AC11" s="88">
        <v>0</v>
      </c>
      <c r="AD11" s="86">
        <v>22</v>
      </c>
      <c r="AE11" s="86">
        <v>0</v>
      </c>
      <c r="AF11" s="86">
        <v>0</v>
      </c>
      <c r="AG11" s="86">
        <v>0</v>
      </c>
      <c r="AH11" s="86">
        <v>1</v>
      </c>
      <c r="AI11" s="86">
        <v>0</v>
      </c>
      <c r="AJ11" s="86">
        <v>0</v>
      </c>
    </row>
    <row r="12" spans="1:36" s="72" customFormat="1" ht="16.5">
      <c r="A12" s="120">
        <v>2</v>
      </c>
      <c r="B12" s="121" t="s">
        <v>108</v>
      </c>
      <c r="C12" s="122">
        <v>0</v>
      </c>
      <c r="D12" s="122">
        <v>1</v>
      </c>
      <c r="E12" s="122">
        <v>3</v>
      </c>
      <c r="F12" s="122">
        <v>0</v>
      </c>
      <c r="G12" s="122">
        <v>0</v>
      </c>
      <c r="H12" s="122">
        <v>0</v>
      </c>
      <c r="I12" s="122">
        <v>4</v>
      </c>
      <c r="J12" s="122">
        <v>0</v>
      </c>
      <c r="K12" s="122">
        <v>2</v>
      </c>
      <c r="L12" s="122">
        <v>0</v>
      </c>
      <c r="M12" s="122">
        <v>1</v>
      </c>
      <c r="N12" s="122">
        <v>2</v>
      </c>
      <c r="O12" s="122">
        <v>3</v>
      </c>
      <c r="P12" s="122">
        <v>4</v>
      </c>
      <c r="Q12" s="87">
        <f t="shared" ref="Q12:Q24" si="0">SUM(C12:P12)</f>
        <v>20</v>
      </c>
      <c r="R12" s="86">
        <v>13</v>
      </c>
      <c r="S12" s="86">
        <v>7</v>
      </c>
      <c r="T12" s="86">
        <v>2</v>
      </c>
      <c r="U12" s="86">
        <v>0</v>
      </c>
      <c r="V12" s="86">
        <v>20</v>
      </c>
      <c r="W12" s="86">
        <v>0</v>
      </c>
      <c r="X12" s="86">
        <v>13</v>
      </c>
      <c r="Y12" s="86">
        <v>13</v>
      </c>
      <c r="Z12" s="86">
        <v>11</v>
      </c>
      <c r="AA12" s="86">
        <v>2</v>
      </c>
      <c r="AB12" s="86">
        <v>0</v>
      </c>
      <c r="AC12" s="88">
        <v>0</v>
      </c>
      <c r="AD12" s="86">
        <v>17</v>
      </c>
      <c r="AE12" s="86">
        <v>3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</row>
    <row r="13" spans="1:36" s="72" customFormat="1" ht="16.5">
      <c r="A13" s="120">
        <v>3</v>
      </c>
      <c r="B13" s="121" t="s">
        <v>119</v>
      </c>
      <c r="C13" s="122">
        <v>1</v>
      </c>
      <c r="D13" s="122">
        <v>6</v>
      </c>
      <c r="E13" s="122">
        <v>0</v>
      </c>
      <c r="F13" s="122">
        <v>1</v>
      </c>
      <c r="G13" s="122">
        <v>2</v>
      </c>
      <c r="H13" s="122">
        <v>2</v>
      </c>
      <c r="I13" s="122">
        <v>1</v>
      </c>
      <c r="J13" s="122">
        <v>0</v>
      </c>
      <c r="K13" s="122">
        <v>2</v>
      </c>
      <c r="L13" s="122">
        <v>1</v>
      </c>
      <c r="M13" s="122">
        <v>1</v>
      </c>
      <c r="N13" s="122">
        <v>3</v>
      </c>
      <c r="O13" s="122">
        <v>0</v>
      </c>
      <c r="P13" s="122">
        <v>0</v>
      </c>
      <c r="Q13" s="87">
        <f t="shared" si="0"/>
        <v>20</v>
      </c>
      <c r="R13" s="86">
        <v>0</v>
      </c>
      <c r="S13" s="86">
        <v>0</v>
      </c>
      <c r="T13" s="86">
        <v>0</v>
      </c>
      <c r="U13" s="86">
        <v>20</v>
      </c>
      <c r="V13" s="86">
        <v>20</v>
      </c>
      <c r="W13" s="86">
        <v>0</v>
      </c>
      <c r="X13" s="86">
        <v>12</v>
      </c>
      <c r="Y13" s="86">
        <v>12</v>
      </c>
      <c r="Z13" s="86">
        <v>11</v>
      </c>
      <c r="AA13" s="86">
        <v>6</v>
      </c>
      <c r="AB13" s="86">
        <v>0</v>
      </c>
      <c r="AC13" s="88">
        <v>0</v>
      </c>
      <c r="AD13" s="86">
        <v>20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6">
        <v>0</v>
      </c>
    </row>
    <row r="14" spans="1:36" s="72" customFormat="1" ht="16.5">
      <c r="A14" s="120">
        <v>4</v>
      </c>
      <c r="B14" s="121" t="s">
        <v>109</v>
      </c>
      <c r="C14" s="122">
        <v>1</v>
      </c>
      <c r="D14" s="122">
        <v>3</v>
      </c>
      <c r="E14" s="122">
        <v>1</v>
      </c>
      <c r="F14" s="122">
        <v>2</v>
      </c>
      <c r="G14" s="122">
        <v>3</v>
      </c>
      <c r="H14" s="122">
        <v>4</v>
      </c>
      <c r="I14" s="122">
        <v>2</v>
      </c>
      <c r="J14" s="122">
        <v>2</v>
      </c>
      <c r="K14" s="122">
        <v>2</v>
      </c>
      <c r="L14" s="122">
        <v>3</v>
      </c>
      <c r="M14" s="122">
        <v>3</v>
      </c>
      <c r="N14" s="122">
        <v>5</v>
      </c>
      <c r="O14" s="122">
        <v>7</v>
      </c>
      <c r="P14" s="122">
        <v>1</v>
      </c>
      <c r="Q14" s="87">
        <f t="shared" si="0"/>
        <v>39</v>
      </c>
      <c r="R14" s="86">
        <v>0</v>
      </c>
      <c r="S14" s="86">
        <v>0</v>
      </c>
      <c r="T14" s="86">
        <v>3</v>
      </c>
      <c r="U14" s="86">
        <v>36</v>
      </c>
      <c r="V14" s="86">
        <v>39</v>
      </c>
      <c r="W14" s="86">
        <v>0</v>
      </c>
      <c r="X14" s="86">
        <v>19</v>
      </c>
      <c r="Y14" s="86">
        <v>19</v>
      </c>
      <c r="Z14" s="86">
        <v>7</v>
      </c>
      <c r="AA14" s="86">
        <v>10</v>
      </c>
      <c r="AB14" s="86">
        <v>0</v>
      </c>
      <c r="AC14" s="88">
        <v>0</v>
      </c>
      <c r="AD14" s="86">
        <v>37</v>
      </c>
      <c r="AE14" s="86">
        <v>2</v>
      </c>
      <c r="AF14" s="86">
        <v>0</v>
      </c>
      <c r="AG14" s="86">
        <v>0</v>
      </c>
      <c r="AH14" s="86">
        <v>4</v>
      </c>
      <c r="AI14" s="86">
        <v>1</v>
      </c>
      <c r="AJ14" s="86">
        <v>0</v>
      </c>
    </row>
    <row r="15" spans="1:36" s="72" customFormat="1" ht="16.5">
      <c r="A15" s="120">
        <v>5</v>
      </c>
      <c r="B15" s="121" t="s">
        <v>110</v>
      </c>
      <c r="C15" s="122">
        <v>2</v>
      </c>
      <c r="D15" s="122">
        <v>5</v>
      </c>
      <c r="E15" s="122">
        <v>3</v>
      </c>
      <c r="F15" s="122">
        <v>0</v>
      </c>
      <c r="G15" s="122">
        <v>8</v>
      </c>
      <c r="H15" s="122">
        <v>6</v>
      </c>
      <c r="I15" s="122">
        <v>0</v>
      </c>
      <c r="J15" s="122">
        <v>2</v>
      </c>
      <c r="K15" s="122">
        <v>3</v>
      </c>
      <c r="L15" s="122">
        <v>0</v>
      </c>
      <c r="M15" s="122">
        <v>2</v>
      </c>
      <c r="N15" s="122">
        <v>6</v>
      </c>
      <c r="O15" s="122">
        <v>9</v>
      </c>
      <c r="P15" s="122">
        <v>2</v>
      </c>
      <c r="Q15" s="87">
        <f t="shared" si="0"/>
        <v>48</v>
      </c>
      <c r="R15" s="86">
        <v>4</v>
      </c>
      <c r="S15" s="86">
        <v>35</v>
      </c>
      <c r="T15" s="86">
        <v>0</v>
      </c>
      <c r="U15" s="86">
        <v>9</v>
      </c>
      <c r="V15" s="86">
        <v>48</v>
      </c>
      <c r="W15" s="86">
        <v>0</v>
      </c>
      <c r="X15" s="86">
        <v>41</v>
      </c>
      <c r="Y15" s="86">
        <v>41</v>
      </c>
      <c r="Z15" s="86">
        <v>41</v>
      </c>
      <c r="AA15" s="86">
        <v>4</v>
      </c>
      <c r="AB15" s="86">
        <v>0</v>
      </c>
      <c r="AC15" s="88">
        <v>0</v>
      </c>
      <c r="AD15" s="86">
        <v>48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s="72" customFormat="1" ht="16.5">
      <c r="A16" s="120">
        <v>6</v>
      </c>
      <c r="B16" s="121" t="s">
        <v>111</v>
      </c>
      <c r="C16" s="122">
        <v>0</v>
      </c>
      <c r="D16" s="122">
        <v>2</v>
      </c>
      <c r="E16" s="122">
        <v>0</v>
      </c>
      <c r="F16" s="122">
        <v>0</v>
      </c>
      <c r="G16" s="122">
        <v>1</v>
      </c>
      <c r="H16" s="122">
        <v>1</v>
      </c>
      <c r="I16" s="122">
        <v>3</v>
      </c>
      <c r="J16" s="122">
        <v>1</v>
      </c>
      <c r="K16" s="122">
        <v>0</v>
      </c>
      <c r="L16" s="122">
        <v>0</v>
      </c>
      <c r="M16" s="122">
        <v>1</v>
      </c>
      <c r="N16" s="122">
        <v>2</v>
      </c>
      <c r="O16" s="122">
        <v>6</v>
      </c>
      <c r="P16" s="122">
        <v>0</v>
      </c>
      <c r="Q16" s="87">
        <f t="shared" si="0"/>
        <v>17</v>
      </c>
      <c r="R16" s="86">
        <v>3</v>
      </c>
      <c r="S16" s="86">
        <v>14</v>
      </c>
      <c r="T16" s="86">
        <v>0</v>
      </c>
      <c r="U16" s="86">
        <v>0</v>
      </c>
      <c r="V16" s="86">
        <v>17</v>
      </c>
      <c r="W16" s="86">
        <v>0</v>
      </c>
      <c r="X16" s="86">
        <v>10</v>
      </c>
      <c r="Y16" s="86">
        <v>10</v>
      </c>
      <c r="Z16" s="86">
        <v>8</v>
      </c>
      <c r="AA16" s="86">
        <v>1</v>
      </c>
      <c r="AB16" s="86">
        <v>0</v>
      </c>
      <c r="AC16" s="88">
        <v>0</v>
      </c>
      <c r="AD16" s="86">
        <v>16</v>
      </c>
      <c r="AE16" s="86">
        <v>1</v>
      </c>
      <c r="AF16" s="86">
        <v>0</v>
      </c>
      <c r="AG16" s="86">
        <v>0</v>
      </c>
      <c r="AH16" s="86">
        <v>0</v>
      </c>
      <c r="AI16" s="86">
        <v>0</v>
      </c>
      <c r="AJ16" s="86">
        <v>0</v>
      </c>
    </row>
    <row r="17" spans="1:36" s="72" customFormat="1" ht="16.5">
      <c r="A17" s="120">
        <v>7</v>
      </c>
      <c r="B17" s="121" t="s">
        <v>112</v>
      </c>
      <c r="C17" s="122">
        <v>5</v>
      </c>
      <c r="D17" s="122">
        <v>2</v>
      </c>
      <c r="E17" s="122">
        <v>7</v>
      </c>
      <c r="F17" s="122">
        <v>3</v>
      </c>
      <c r="G17" s="122">
        <v>9</v>
      </c>
      <c r="H17" s="122">
        <v>2</v>
      </c>
      <c r="I17" s="122">
        <v>6</v>
      </c>
      <c r="J17" s="122">
        <v>2</v>
      </c>
      <c r="K17" s="122">
        <v>7</v>
      </c>
      <c r="L17" s="122">
        <v>12</v>
      </c>
      <c r="M17" s="122">
        <v>12</v>
      </c>
      <c r="N17" s="122">
        <v>12</v>
      </c>
      <c r="O17" s="122">
        <v>10</v>
      </c>
      <c r="P17" s="122">
        <v>11</v>
      </c>
      <c r="Q17" s="87">
        <v>100</v>
      </c>
      <c r="R17" s="86">
        <v>4</v>
      </c>
      <c r="S17" s="86">
        <v>3</v>
      </c>
      <c r="T17" s="86">
        <v>10</v>
      </c>
      <c r="U17" s="86">
        <v>87</v>
      </c>
      <c r="V17" s="86">
        <v>100</v>
      </c>
      <c r="W17" s="86">
        <v>0</v>
      </c>
      <c r="X17" s="86">
        <v>35</v>
      </c>
      <c r="Y17" s="86">
        <v>35</v>
      </c>
      <c r="Z17" s="86">
        <v>24</v>
      </c>
      <c r="AA17" s="86">
        <v>40</v>
      </c>
      <c r="AB17" s="86">
        <v>0</v>
      </c>
      <c r="AC17" s="88">
        <v>0</v>
      </c>
      <c r="AD17" s="86">
        <v>100</v>
      </c>
      <c r="AE17" s="86">
        <v>0</v>
      </c>
      <c r="AF17" s="86">
        <v>0</v>
      </c>
      <c r="AG17" s="86">
        <v>0</v>
      </c>
      <c r="AH17" s="86">
        <v>5</v>
      </c>
      <c r="AI17" s="86">
        <v>2</v>
      </c>
      <c r="AJ17" s="86">
        <v>0</v>
      </c>
    </row>
    <row r="18" spans="1:36" s="72" customFormat="1" ht="16.5">
      <c r="A18" s="120">
        <v>8</v>
      </c>
      <c r="B18" s="121" t="s">
        <v>113</v>
      </c>
      <c r="C18" s="122">
        <v>1</v>
      </c>
      <c r="D18" s="122">
        <v>1</v>
      </c>
      <c r="E18" s="122">
        <v>0</v>
      </c>
      <c r="F18" s="122">
        <v>0</v>
      </c>
      <c r="G18" s="122">
        <v>0</v>
      </c>
      <c r="H18" s="122">
        <v>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2</v>
      </c>
      <c r="O18" s="122">
        <v>2</v>
      </c>
      <c r="P18" s="122">
        <v>0</v>
      </c>
      <c r="Q18" s="87">
        <f t="shared" si="0"/>
        <v>6</v>
      </c>
      <c r="R18" s="86">
        <v>0</v>
      </c>
      <c r="S18" s="86">
        <v>4</v>
      </c>
      <c r="T18" s="86">
        <v>2</v>
      </c>
      <c r="U18" s="86">
        <v>0</v>
      </c>
      <c r="V18" s="86">
        <v>6</v>
      </c>
      <c r="W18" s="86">
        <v>0</v>
      </c>
      <c r="X18" s="86">
        <v>6</v>
      </c>
      <c r="Y18" s="86">
        <v>6</v>
      </c>
      <c r="Z18" s="86">
        <v>2</v>
      </c>
      <c r="AA18" s="86">
        <v>2</v>
      </c>
      <c r="AB18" s="86">
        <v>0</v>
      </c>
      <c r="AC18" s="88">
        <v>0</v>
      </c>
      <c r="AD18" s="86">
        <v>6</v>
      </c>
      <c r="AE18" s="86">
        <v>0</v>
      </c>
      <c r="AF18" s="86">
        <v>0</v>
      </c>
      <c r="AG18" s="86">
        <v>0</v>
      </c>
      <c r="AH18" s="86">
        <v>1</v>
      </c>
      <c r="AI18" s="86">
        <v>1</v>
      </c>
      <c r="AJ18" s="86">
        <v>0</v>
      </c>
    </row>
    <row r="19" spans="1:36" s="72" customFormat="1" ht="16.5">
      <c r="A19" s="120">
        <v>9</v>
      </c>
      <c r="B19" s="121" t="s">
        <v>114</v>
      </c>
      <c r="C19" s="122">
        <v>1</v>
      </c>
      <c r="D19" s="122">
        <v>3</v>
      </c>
      <c r="E19" s="122">
        <v>3</v>
      </c>
      <c r="F19" s="122">
        <v>1</v>
      </c>
      <c r="G19" s="122">
        <v>7</v>
      </c>
      <c r="H19" s="122">
        <v>3</v>
      </c>
      <c r="I19" s="122">
        <v>3</v>
      </c>
      <c r="J19" s="122">
        <v>0</v>
      </c>
      <c r="K19" s="122">
        <v>2</v>
      </c>
      <c r="L19" s="122">
        <v>0</v>
      </c>
      <c r="M19" s="122">
        <v>0</v>
      </c>
      <c r="N19" s="122">
        <v>3</v>
      </c>
      <c r="O19" s="122">
        <v>1</v>
      </c>
      <c r="P19" s="122">
        <v>2</v>
      </c>
      <c r="Q19" s="87">
        <f t="shared" si="0"/>
        <v>29</v>
      </c>
      <c r="R19" s="86">
        <v>0</v>
      </c>
      <c r="S19" s="86">
        <v>0</v>
      </c>
      <c r="T19" s="86">
        <v>1</v>
      </c>
      <c r="U19" s="86">
        <v>29</v>
      </c>
      <c r="V19" s="86">
        <v>29</v>
      </c>
      <c r="W19" s="86">
        <v>0</v>
      </c>
      <c r="X19" s="86">
        <v>7</v>
      </c>
      <c r="Y19" s="86">
        <v>7</v>
      </c>
      <c r="Z19" s="86">
        <v>6</v>
      </c>
      <c r="AA19" s="86">
        <v>8</v>
      </c>
      <c r="AB19" s="86">
        <v>0</v>
      </c>
      <c r="AC19" s="88">
        <v>0</v>
      </c>
      <c r="AD19" s="86">
        <v>28</v>
      </c>
      <c r="AE19" s="86">
        <v>1</v>
      </c>
      <c r="AF19" s="86">
        <v>0</v>
      </c>
      <c r="AG19" s="86">
        <v>0</v>
      </c>
      <c r="AH19" s="86">
        <v>0</v>
      </c>
      <c r="AI19" s="86">
        <v>1</v>
      </c>
      <c r="AJ19" s="86">
        <v>0</v>
      </c>
    </row>
    <row r="20" spans="1:36" s="72" customFormat="1" ht="16.5">
      <c r="A20" s="120">
        <v>10</v>
      </c>
      <c r="B20" s="121" t="s">
        <v>115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1</v>
      </c>
      <c r="I20" s="122">
        <v>0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0</v>
      </c>
      <c r="Q20" s="87">
        <f t="shared" si="0"/>
        <v>1</v>
      </c>
      <c r="R20" s="86">
        <v>1</v>
      </c>
      <c r="S20" s="86">
        <v>0</v>
      </c>
      <c r="T20" s="86">
        <v>0</v>
      </c>
      <c r="U20" s="86">
        <v>0</v>
      </c>
      <c r="V20" s="86">
        <v>1</v>
      </c>
      <c r="W20" s="86">
        <v>0</v>
      </c>
      <c r="X20" s="86">
        <v>1</v>
      </c>
      <c r="Y20" s="86">
        <v>1</v>
      </c>
      <c r="Z20" s="86">
        <v>0</v>
      </c>
      <c r="AA20" s="86">
        <v>0</v>
      </c>
      <c r="AB20" s="86">
        <v>0</v>
      </c>
      <c r="AC20" s="88">
        <v>0</v>
      </c>
      <c r="AD20" s="86">
        <v>1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 s="72" customFormat="1" ht="16.5">
      <c r="A21" s="120">
        <v>11</v>
      </c>
      <c r="B21" s="121" t="s">
        <v>116</v>
      </c>
      <c r="C21" s="122">
        <v>0</v>
      </c>
      <c r="D21" s="122">
        <v>3</v>
      </c>
      <c r="E21" s="122">
        <v>0</v>
      </c>
      <c r="F21" s="122">
        <v>0</v>
      </c>
      <c r="G21" s="122">
        <v>4</v>
      </c>
      <c r="H21" s="122">
        <v>1</v>
      </c>
      <c r="I21" s="122">
        <v>1</v>
      </c>
      <c r="J21" s="122">
        <v>0</v>
      </c>
      <c r="K21" s="122">
        <v>0</v>
      </c>
      <c r="L21" s="122">
        <v>0</v>
      </c>
      <c r="M21" s="122">
        <v>0</v>
      </c>
      <c r="N21" s="122">
        <v>1</v>
      </c>
      <c r="O21" s="122">
        <v>1</v>
      </c>
      <c r="P21" s="122">
        <v>0</v>
      </c>
      <c r="Q21" s="87">
        <f t="shared" si="0"/>
        <v>11</v>
      </c>
      <c r="R21" s="86">
        <v>11</v>
      </c>
      <c r="S21" s="86">
        <v>0</v>
      </c>
      <c r="T21" s="86">
        <v>0</v>
      </c>
      <c r="U21" s="86">
        <v>11</v>
      </c>
      <c r="V21" s="86">
        <v>11</v>
      </c>
      <c r="W21" s="86">
        <v>0</v>
      </c>
      <c r="X21" s="86">
        <v>6</v>
      </c>
      <c r="Y21" s="86">
        <v>6</v>
      </c>
      <c r="Z21" s="86">
        <v>5</v>
      </c>
      <c r="AA21" s="86">
        <v>3</v>
      </c>
      <c r="AB21" s="86">
        <v>0</v>
      </c>
      <c r="AC21" s="88">
        <v>0</v>
      </c>
      <c r="AD21" s="86">
        <v>9</v>
      </c>
      <c r="AE21" s="86">
        <v>2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 s="72" customFormat="1" ht="16.5">
      <c r="A22" s="120">
        <v>12</v>
      </c>
      <c r="B22" s="121" t="s">
        <v>117</v>
      </c>
      <c r="C22" s="122">
        <v>2</v>
      </c>
      <c r="D22" s="122">
        <v>0</v>
      </c>
      <c r="E22" s="122">
        <v>0</v>
      </c>
      <c r="F22" s="122">
        <v>0</v>
      </c>
      <c r="G22" s="122">
        <v>1</v>
      </c>
      <c r="H22" s="122">
        <v>0</v>
      </c>
      <c r="I22" s="122">
        <v>0</v>
      </c>
      <c r="J22" s="122">
        <v>2</v>
      </c>
      <c r="K22" s="122">
        <v>0</v>
      </c>
      <c r="L22" s="122">
        <v>0</v>
      </c>
      <c r="M22" s="122">
        <v>1</v>
      </c>
      <c r="N22" s="122">
        <v>1</v>
      </c>
      <c r="O22" s="122">
        <v>0</v>
      </c>
      <c r="P22" s="122">
        <v>0</v>
      </c>
      <c r="Q22" s="87">
        <f t="shared" si="0"/>
        <v>7</v>
      </c>
      <c r="R22" s="86">
        <v>0</v>
      </c>
      <c r="S22" s="86">
        <v>0</v>
      </c>
      <c r="T22" s="86">
        <v>3</v>
      </c>
      <c r="U22" s="86">
        <v>4</v>
      </c>
      <c r="V22" s="86">
        <v>7</v>
      </c>
      <c r="W22" s="86">
        <v>0</v>
      </c>
      <c r="X22" s="86">
        <v>5</v>
      </c>
      <c r="Y22" s="86">
        <v>5</v>
      </c>
      <c r="Z22" s="86">
        <v>4</v>
      </c>
      <c r="AA22" s="86">
        <v>4</v>
      </c>
      <c r="AB22" s="86">
        <v>0</v>
      </c>
      <c r="AC22" s="88">
        <v>0</v>
      </c>
      <c r="AD22" s="86">
        <v>7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6">
        <v>0</v>
      </c>
    </row>
    <row r="23" spans="1:36" s="72" customFormat="1" ht="16.5">
      <c r="A23" s="120">
        <v>13</v>
      </c>
      <c r="B23" s="121" t="s">
        <v>118</v>
      </c>
      <c r="C23" s="122">
        <v>0</v>
      </c>
      <c r="D23" s="122">
        <v>0</v>
      </c>
      <c r="E23" s="122">
        <v>0</v>
      </c>
      <c r="F23" s="122">
        <v>0</v>
      </c>
      <c r="G23" s="122">
        <v>1</v>
      </c>
      <c r="H23" s="122">
        <v>0</v>
      </c>
      <c r="I23" s="122">
        <v>0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1</v>
      </c>
      <c r="P23" s="122">
        <v>0</v>
      </c>
      <c r="Q23" s="87">
        <f t="shared" si="0"/>
        <v>2</v>
      </c>
      <c r="R23" s="86">
        <v>0</v>
      </c>
      <c r="S23" s="86">
        <v>0</v>
      </c>
      <c r="T23" s="86">
        <v>2</v>
      </c>
      <c r="U23" s="86">
        <v>0</v>
      </c>
      <c r="V23" s="86">
        <v>2</v>
      </c>
      <c r="W23" s="86">
        <v>0</v>
      </c>
      <c r="X23" s="86">
        <v>0</v>
      </c>
      <c r="Y23" s="86">
        <v>0</v>
      </c>
      <c r="Z23" s="86">
        <v>0</v>
      </c>
      <c r="AA23" s="86">
        <v>0</v>
      </c>
      <c r="AB23" s="86">
        <v>2</v>
      </c>
      <c r="AC23" s="88">
        <v>0</v>
      </c>
      <c r="AD23" s="86">
        <v>2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6">
        <v>0</v>
      </c>
    </row>
    <row r="24" spans="1:36" s="72" customFormat="1" ht="18.95" customHeight="1">
      <c r="A24" s="154" t="s">
        <v>31</v>
      </c>
      <c r="B24" s="155"/>
      <c r="C24" s="123">
        <f>SUM(C11:C23)</f>
        <v>14</v>
      </c>
      <c r="D24" s="123">
        <f t="shared" ref="D24:M24" si="1">SUM(D11:D23)</f>
        <v>27</v>
      </c>
      <c r="E24" s="123">
        <f t="shared" si="1"/>
        <v>20</v>
      </c>
      <c r="F24" s="123">
        <f t="shared" si="1"/>
        <v>8</v>
      </c>
      <c r="G24" s="123">
        <f t="shared" si="1"/>
        <v>39</v>
      </c>
      <c r="H24" s="123">
        <f t="shared" si="1"/>
        <v>20</v>
      </c>
      <c r="I24" s="123">
        <f t="shared" si="1"/>
        <v>20</v>
      </c>
      <c r="J24" s="123">
        <f t="shared" si="1"/>
        <v>10</v>
      </c>
      <c r="K24" s="123">
        <f t="shared" si="1"/>
        <v>18</v>
      </c>
      <c r="L24" s="123">
        <f t="shared" si="1"/>
        <v>16</v>
      </c>
      <c r="M24" s="123">
        <f t="shared" si="1"/>
        <v>22</v>
      </c>
      <c r="N24" s="123">
        <f>SUM(N11:N23)</f>
        <v>42</v>
      </c>
      <c r="O24" s="123">
        <f t="shared" ref="O24:AJ24" si="2">SUM(O11:O23)</f>
        <v>44</v>
      </c>
      <c r="P24" s="123">
        <f t="shared" si="2"/>
        <v>22</v>
      </c>
      <c r="Q24" s="87">
        <f t="shared" si="0"/>
        <v>322</v>
      </c>
      <c r="R24" s="89">
        <f t="shared" si="2"/>
        <v>37</v>
      </c>
      <c r="S24" s="89">
        <f t="shared" si="2"/>
        <v>63</v>
      </c>
      <c r="T24" s="89">
        <f t="shared" si="2"/>
        <v>23</v>
      </c>
      <c r="U24" s="89">
        <f t="shared" si="2"/>
        <v>217</v>
      </c>
      <c r="V24" s="89">
        <f t="shared" si="2"/>
        <v>322</v>
      </c>
      <c r="W24" s="89">
        <f t="shared" si="2"/>
        <v>0</v>
      </c>
      <c r="X24" s="89">
        <f t="shared" si="2"/>
        <v>175</v>
      </c>
      <c r="Y24" s="89">
        <f t="shared" si="2"/>
        <v>175</v>
      </c>
      <c r="Z24" s="89">
        <f t="shared" si="2"/>
        <v>136</v>
      </c>
      <c r="AA24" s="89">
        <f t="shared" si="2"/>
        <v>99</v>
      </c>
      <c r="AB24" s="89">
        <f t="shared" si="2"/>
        <v>2</v>
      </c>
      <c r="AC24" s="90">
        <v>0</v>
      </c>
      <c r="AD24" s="89">
        <f t="shared" si="2"/>
        <v>313</v>
      </c>
      <c r="AE24" s="89">
        <f t="shared" si="2"/>
        <v>9</v>
      </c>
      <c r="AF24" s="89">
        <f t="shared" si="2"/>
        <v>0</v>
      </c>
      <c r="AG24" s="89">
        <f t="shared" si="2"/>
        <v>0</v>
      </c>
      <c r="AH24" s="89">
        <f t="shared" si="2"/>
        <v>11</v>
      </c>
      <c r="AI24" s="89">
        <f t="shared" si="2"/>
        <v>5</v>
      </c>
      <c r="AJ24" s="89">
        <f t="shared" si="2"/>
        <v>0</v>
      </c>
    </row>
    <row r="25" spans="1:36" s="72" customFormat="1" ht="16.5"/>
  </sheetData>
  <mergeCells count="27">
    <mergeCell ref="AH7:AH9"/>
    <mergeCell ref="A24:B24"/>
    <mergeCell ref="V8:W8"/>
    <mergeCell ref="X8:Y8"/>
    <mergeCell ref="AD8:AD9"/>
    <mergeCell ref="AE8:AE9"/>
    <mergeCell ref="T8:U8"/>
    <mergeCell ref="AF8:AF9"/>
    <mergeCell ref="AG8:AG9"/>
    <mergeCell ref="AC7:AC9"/>
    <mergeCell ref="AD7:AG7"/>
    <mergeCell ref="A2:AJ2"/>
    <mergeCell ref="A4:B4"/>
    <mergeCell ref="A5:B5"/>
    <mergeCell ref="A7:A9"/>
    <mergeCell ref="B7:B9"/>
    <mergeCell ref="C7:P7"/>
    <mergeCell ref="Q7:Q9"/>
    <mergeCell ref="R7:U7"/>
    <mergeCell ref="V7:AA7"/>
    <mergeCell ref="AB7:AB9"/>
    <mergeCell ref="AI7:AI9"/>
    <mergeCell ref="AJ7:AJ9"/>
    <mergeCell ref="C8:I8"/>
    <mergeCell ref="J8:P8"/>
    <mergeCell ref="R8:R9"/>
    <mergeCell ref="S8:S9"/>
  </mergeCells>
  <pageMargins left="0.7" right="0.7" top="0.75" bottom="0.75" header="0.3" footer="0.3"/>
  <pageSetup paperSize="5" scale="6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E0C0-07A6-4C23-AFD5-353FCDF13522}">
  <dimension ref="A1:AK24"/>
  <sheetViews>
    <sheetView topLeftCell="L10" workbookViewId="0">
      <selection activeCell="G6" sqref="G6"/>
    </sheetView>
  </sheetViews>
  <sheetFormatPr defaultRowHeight="15"/>
  <cols>
    <col min="1" max="1" width="9.140625" hidden="1" customWidth="1"/>
    <col min="2" max="2" width="5.140625" customWidth="1"/>
    <col min="3" max="3" width="17.42578125" customWidth="1"/>
    <col min="4" max="4" width="6" customWidth="1"/>
    <col min="5" max="5" width="5.42578125" customWidth="1"/>
    <col min="6" max="6" width="6.140625" customWidth="1"/>
    <col min="8" max="8" width="6.7109375" customWidth="1"/>
    <col min="9" max="9" width="7.140625" customWidth="1"/>
    <col min="10" max="10" width="6.28515625" customWidth="1"/>
    <col min="11" max="11" width="6.5703125" customWidth="1"/>
    <col min="12" max="12" width="6.7109375" customWidth="1"/>
    <col min="13" max="14" width="7" customWidth="1"/>
    <col min="15" max="15" width="7.42578125" customWidth="1"/>
    <col min="16" max="16" width="7.7109375" customWidth="1"/>
    <col min="17" max="17" width="6.85546875" customWidth="1"/>
    <col min="19" max="19" width="6.5703125" customWidth="1"/>
    <col min="20" max="20" width="6.140625" customWidth="1"/>
    <col min="21" max="21" width="6.85546875" customWidth="1"/>
    <col min="22" max="22" width="5.140625" customWidth="1"/>
    <col min="23" max="23" width="6.7109375" customWidth="1"/>
    <col min="24" max="24" width="5.85546875" customWidth="1"/>
    <col min="25" max="25" width="7.85546875" customWidth="1"/>
    <col min="26" max="26" width="8" customWidth="1"/>
    <col min="27" max="27" width="8.42578125" customWidth="1"/>
    <col min="28" max="28" width="8.28515625" customWidth="1"/>
    <col min="29" max="29" width="7" customWidth="1"/>
    <col min="30" max="31" width="7.7109375" customWidth="1"/>
    <col min="32" max="32" width="7.140625" customWidth="1"/>
    <col min="33" max="33" width="7.5703125" customWidth="1"/>
    <col min="34" max="34" width="7.85546875" customWidth="1"/>
    <col min="35" max="35" width="8.28515625" customWidth="1"/>
    <col min="36" max="36" width="7.5703125" customWidth="1"/>
    <col min="37" max="37" width="5.7109375" customWidth="1"/>
  </cols>
  <sheetData>
    <row r="1" spans="2:37" s="72" customFormat="1" ht="16.5"/>
    <row r="2" spans="2:37" s="81" customFormat="1" ht="20.25">
      <c r="B2" s="113" t="s">
        <v>125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</row>
    <row r="3" spans="2:37" s="72" customFormat="1" ht="16.5"/>
    <row r="4" spans="2:37" s="72" customFormat="1" ht="16.5">
      <c r="B4" s="73" t="s">
        <v>38</v>
      </c>
      <c r="C4" s="73"/>
      <c r="D4" s="72" t="s">
        <v>40</v>
      </c>
      <c r="E4" s="72" t="s">
        <v>104</v>
      </c>
    </row>
    <row r="5" spans="2:37" s="72" customFormat="1" ht="16.5">
      <c r="B5" s="73" t="s">
        <v>1</v>
      </c>
      <c r="C5" s="73"/>
      <c r="D5" s="72" t="s">
        <v>120</v>
      </c>
    </row>
    <row r="6" spans="2:37" s="72" customFormat="1" ht="41.25" customHeight="1">
      <c r="B6" s="73" t="s">
        <v>2</v>
      </c>
      <c r="C6" s="73"/>
      <c r="E6" s="74">
        <v>2025</v>
      </c>
    </row>
    <row r="7" spans="2:37" s="72" customFormat="1" ht="56.25" customHeight="1">
      <c r="B7" s="93" t="s">
        <v>3</v>
      </c>
      <c r="C7" s="93" t="s">
        <v>106</v>
      </c>
      <c r="D7" s="103" t="s">
        <v>4</v>
      </c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108" t="s">
        <v>5</v>
      </c>
      <c r="S7" s="96" t="s">
        <v>32</v>
      </c>
      <c r="T7" s="97"/>
      <c r="U7" s="97"/>
      <c r="V7" s="98"/>
      <c r="W7" s="103" t="s">
        <v>6</v>
      </c>
      <c r="X7" s="104"/>
      <c r="Y7" s="104"/>
      <c r="Z7" s="104"/>
      <c r="AA7" s="104"/>
      <c r="AB7" s="105"/>
      <c r="AC7" s="93" t="s">
        <v>7</v>
      </c>
      <c r="AD7" s="107" t="s">
        <v>8</v>
      </c>
      <c r="AE7" s="103" t="s">
        <v>9</v>
      </c>
      <c r="AF7" s="104"/>
      <c r="AG7" s="104"/>
      <c r="AH7" s="105"/>
      <c r="AI7" s="108" t="s">
        <v>10</v>
      </c>
      <c r="AJ7" s="108" t="s">
        <v>11</v>
      </c>
      <c r="AK7" s="75" t="s">
        <v>12</v>
      </c>
    </row>
    <row r="8" spans="2:37" s="72" customFormat="1" ht="22.5" customHeight="1">
      <c r="B8" s="94"/>
      <c r="C8" s="94"/>
      <c r="D8" s="103" t="s">
        <v>13</v>
      </c>
      <c r="E8" s="104"/>
      <c r="F8" s="104"/>
      <c r="G8" s="104"/>
      <c r="H8" s="104"/>
      <c r="I8" s="104"/>
      <c r="J8" s="105"/>
      <c r="K8" s="103" t="s">
        <v>14</v>
      </c>
      <c r="L8" s="104"/>
      <c r="M8" s="104"/>
      <c r="N8" s="104"/>
      <c r="O8" s="104"/>
      <c r="P8" s="104"/>
      <c r="Q8" s="105"/>
      <c r="R8" s="110"/>
      <c r="S8" s="99" t="s">
        <v>35</v>
      </c>
      <c r="T8" s="99" t="s">
        <v>36</v>
      </c>
      <c r="U8" s="101" t="s">
        <v>37</v>
      </c>
      <c r="V8" s="102"/>
      <c r="W8" s="111" t="s">
        <v>15</v>
      </c>
      <c r="X8" s="112"/>
      <c r="Y8" s="75" t="s">
        <v>16</v>
      </c>
      <c r="Z8" s="75"/>
      <c r="AA8" s="75" t="s">
        <v>17</v>
      </c>
      <c r="AB8" s="75" t="s">
        <v>18</v>
      </c>
      <c r="AC8" s="94"/>
      <c r="AD8" s="107"/>
      <c r="AE8" s="93" t="s">
        <v>19</v>
      </c>
      <c r="AF8" s="93" t="s">
        <v>20</v>
      </c>
      <c r="AG8" s="93" t="s">
        <v>21</v>
      </c>
      <c r="AH8" s="108" t="s">
        <v>22</v>
      </c>
      <c r="AI8" s="110"/>
      <c r="AJ8" s="110"/>
      <c r="AK8" s="75"/>
    </row>
    <row r="9" spans="2:37" s="72" customFormat="1" ht="24" customHeight="1">
      <c r="B9" s="95"/>
      <c r="C9" s="95"/>
      <c r="D9" s="75" t="s">
        <v>23</v>
      </c>
      <c r="E9" s="76" t="s">
        <v>24</v>
      </c>
      <c r="F9" s="77" t="s">
        <v>25</v>
      </c>
      <c r="G9" s="78" t="s">
        <v>26</v>
      </c>
      <c r="H9" s="78" t="s">
        <v>27</v>
      </c>
      <c r="I9" s="78" t="s">
        <v>28</v>
      </c>
      <c r="J9" s="75" t="s">
        <v>29</v>
      </c>
      <c r="K9" s="75" t="s">
        <v>23</v>
      </c>
      <c r="L9" s="76" t="s">
        <v>24</v>
      </c>
      <c r="M9" s="77" t="s">
        <v>25</v>
      </c>
      <c r="N9" s="78" t="s">
        <v>26</v>
      </c>
      <c r="O9" s="78" t="s">
        <v>27</v>
      </c>
      <c r="P9" s="78" t="s">
        <v>28</v>
      </c>
      <c r="Q9" s="75" t="s">
        <v>29</v>
      </c>
      <c r="R9" s="109"/>
      <c r="S9" s="100"/>
      <c r="T9" s="100"/>
      <c r="U9" s="79" t="s">
        <v>33</v>
      </c>
      <c r="V9" s="79" t="s">
        <v>34</v>
      </c>
      <c r="W9" s="80" t="s">
        <v>42</v>
      </c>
      <c r="X9" s="80" t="s">
        <v>41</v>
      </c>
      <c r="Y9" s="75" t="s">
        <v>30</v>
      </c>
      <c r="Z9" s="75" t="s">
        <v>30</v>
      </c>
      <c r="AA9" s="75" t="s">
        <v>30</v>
      </c>
      <c r="AB9" s="75" t="s">
        <v>30</v>
      </c>
      <c r="AC9" s="95"/>
      <c r="AD9" s="107"/>
      <c r="AE9" s="95"/>
      <c r="AF9" s="95"/>
      <c r="AG9" s="95"/>
      <c r="AH9" s="109"/>
      <c r="AI9" s="109"/>
      <c r="AJ9" s="109"/>
      <c r="AK9" s="75"/>
    </row>
    <row r="10" spans="2:37" s="72" customFormat="1" ht="16.5">
      <c r="B10" s="82">
        <v>1</v>
      </c>
      <c r="C10" s="82">
        <v>2</v>
      </c>
      <c r="D10" s="83">
        <v>3</v>
      </c>
      <c r="E10" s="82">
        <v>4</v>
      </c>
      <c r="F10" s="82">
        <v>5</v>
      </c>
      <c r="G10" s="83">
        <v>6</v>
      </c>
      <c r="H10" s="82">
        <v>7</v>
      </c>
      <c r="I10" s="82">
        <v>8</v>
      </c>
      <c r="J10" s="83">
        <v>9</v>
      </c>
      <c r="K10" s="82">
        <v>10</v>
      </c>
      <c r="L10" s="82">
        <v>11</v>
      </c>
      <c r="M10" s="83">
        <v>12</v>
      </c>
      <c r="N10" s="82">
        <v>13</v>
      </c>
      <c r="O10" s="82">
        <v>14</v>
      </c>
      <c r="P10" s="83">
        <v>15</v>
      </c>
      <c r="Q10" s="82">
        <v>16</v>
      </c>
      <c r="R10" s="82">
        <v>17</v>
      </c>
      <c r="S10" s="83">
        <v>18</v>
      </c>
      <c r="T10" s="82">
        <v>19</v>
      </c>
      <c r="U10" s="82">
        <v>20</v>
      </c>
      <c r="V10" s="83">
        <v>21</v>
      </c>
      <c r="W10" s="82">
        <v>22</v>
      </c>
      <c r="X10" s="82">
        <v>23</v>
      </c>
      <c r="Y10" s="83">
        <v>24</v>
      </c>
      <c r="Z10" s="82">
        <v>25</v>
      </c>
      <c r="AA10" s="82">
        <v>26</v>
      </c>
      <c r="AB10" s="83">
        <v>27</v>
      </c>
      <c r="AC10" s="82">
        <v>28</v>
      </c>
      <c r="AD10" s="82">
        <v>29</v>
      </c>
      <c r="AE10" s="83">
        <v>30</v>
      </c>
      <c r="AF10" s="82">
        <v>31</v>
      </c>
      <c r="AG10" s="82">
        <v>32</v>
      </c>
      <c r="AH10" s="83">
        <v>33</v>
      </c>
      <c r="AI10" s="82">
        <v>34</v>
      </c>
      <c r="AJ10" s="82">
        <v>35</v>
      </c>
      <c r="AK10" s="82">
        <v>36</v>
      </c>
    </row>
    <row r="11" spans="2:37" s="72" customFormat="1" ht="16.5">
      <c r="B11" s="84">
        <v>1</v>
      </c>
      <c r="C11" s="85" t="s">
        <v>107</v>
      </c>
      <c r="D11" s="86">
        <v>3</v>
      </c>
      <c r="E11" s="86">
        <v>4</v>
      </c>
      <c r="F11" s="86">
        <v>1</v>
      </c>
      <c r="G11" s="86">
        <v>2</v>
      </c>
      <c r="H11" s="86">
        <v>7</v>
      </c>
      <c r="I11" s="86">
        <v>8</v>
      </c>
      <c r="J11" s="86">
        <v>0</v>
      </c>
      <c r="K11" s="86">
        <v>0</v>
      </c>
      <c r="L11" s="86">
        <v>1</v>
      </c>
      <c r="M11" s="86">
        <v>0</v>
      </c>
      <c r="N11" s="86">
        <v>3</v>
      </c>
      <c r="O11" s="86">
        <v>5</v>
      </c>
      <c r="P11" s="86">
        <v>3</v>
      </c>
      <c r="Q11" s="86">
        <v>0</v>
      </c>
      <c r="R11" s="87">
        <f>SUM(D11:Q11)</f>
        <v>37</v>
      </c>
      <c r="S11" s="86">
        <v>0</v>
      </c>
      <c r="T11" s="86">
        <v>37</v>
      </c>
      <c r="U11" s="86">
        <v>0</v>
      </c>
      <c r="V11" s="86">
        <v>37</v>
      </c>
      <c r="W11" s="86">
        <v>37</v>
      </c>
      <c r="X11" s="86">
        <v>0</v>
      </c>
      <c r="Y11" s="86">
        <v>37</v>
      </c>
      <c r="Z11" s="86">
        <v>37</v>
      </c>
      <c r="AA11" s="86">
        <v>36</v>
      </c>
      <c r="AB11" s="86">
        <v>20</v>
      </c>
      <c r="AC11" s="86">
        <v>0</v>
      </c>
      <c r="AD11" s="88">
        <v>0</v>
      </c>
      <c r="AE11" s="86">
        <v>28</v>
      </c>
      <c r="AF11" s="86">
        <v>6</v>
      </c>
      <c r="AG11" s="86">
        <v>0</v>
      </c>
      <c r="AH11" s="86">
        <v>0</v>
      </c>
      <c r="AI11" s="86">
        <v>1</v>
      </c>
      <c r="AJ11" s="86">
        <v>1</v>
      </c>
      <c r="AK11" s="86">
        <v>0</v>
      </c>
    </row>
    <row r="12" spans="2:37" s="72" customFormat="1" ht="16.5">
      <c r="B12" s="84">
        <v>2</v>
      </c>
      <c r="C12" s="85" t="s">
        <v>108</v>
      </c>
      <c r="D12" s="86">
        <v>2</v>
      </c>
      <c r="E12" s="86">
        <v>1</v>
      </c>
      <c r="F12" s="86">
        <v>0</v>
      </c>
      <c r="G12" s="86">
        <v>0</v>
      </c>
      <c r="H12" s="86">
        <v>1</v>
      </c>
      <c r="I12" s="86">
        <v>3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4</v>
      </c>
      <c r="P12" s="86">
        <v>3</v>
      </c>
      <c r="Q12" s="86">
        <v>3</v>
      </c>
      <c r="R12" s="87">
        <f t="shared" ref="R12:R16" si="0">SUM(D12:Q12)</f>
        <v>17</v>
      </c>
      <c r="S12" s="86">
        <v>15</v>
      </c>
      <c r="T12" s="86">
        <v>0</v>
      </c>
      <c r="U12" s="86">
        <v>0</v>
      </c>
      <c r="V12" s="86">
        <v>2</v>
      </c>
      <c r="W12" s="86">
        <v>17</v>
      </c>
      <c r="X12" s="86">
        <v>0</v>
      </c>
      <c r="Y12" s="86">
        <v>14</v>
      </c>
      <c r="Z12" s="86">
        <v>14</v>
      </c>
      <c r="AA12" s="86">
        <v>10</v>
      </c>
      <c r="AB12" s="86">
        <v>7</v>
      </c>
      <c r="AC12" s="86">
        <v>0</v>
      </c>
      <c r="AD12" s="88">
        <v>0</v>
      </c>
      <c r="AE12" s="86">
        <v>15</v>
      </c>
      <c r="AF12" s="86">
        <v>1</v>
      </c>
      <c r="AG12" s="86">
        <v>1</v>
      </c>
      <c r="AH12" s="86">
        <v>0</v>
      </c>
      <c r="AI12" s="86">
        <v>0</v>
      </c>
      <c r="AJ12" s="86">
        <v>0</v>
      </c>
      <c r="AK12" s="86">
        <v>0</v>
      </c>
    </row>
    <row r="13" spans="2:37" s="72" customFormat="1" ht="16.5">
      <c r="B13" s="84">
        <v>3</v>
      </c>
      <c r="C13" s="85" t="s">
        <v>119</v>
      </c>
      <c r="D13" s="86">
        <v>1</v>
      </c>
      <c r="E13" s="86">
        <v>1</v>
      </c>
      <c r="F13" s="86">
        <v>3</v>
      </c>
      <c r="G13" s="86">
        <v>0</v>
      </c>
      <c r="H13" s="86">
        <v>6</v>
      </c>
      <c r="I13" s="86">
        <v>3</v>
      </c>
      <c r="J13" s="86">
        <v>2</v>
      </c>
      <c r="K13" s="86">
        <v>0</v>
      </c>
      <c r="L13" s="86">
        <v>0</v>
      </c>
      <c r="M13" s="86">
        <v>1</v>
      </c>
      <c r="N13" s="86">
        <v>1</v>
      </c>
      <c r="O13" s="86">
        <v>0</v>
      </c>
      <c r="P13" s="86">
        <v>4</v>
      </c>
      <c r="Q13" s="86">
        <v>2</v>
      </c>
      <c r="R13" s="87">
        <f t="shared" si="0"/>
        <v>24</v>
      </c>
      <c r="S13" s="86">
        <v>1</v>
      </c>
      <c r="T13" s="86">
        <v>0</v>
      </c>
      <c r="U13" s="86">
        <v>0</v>
      </c>
      <c r="V13" s="86">
        <v>23</v>
      </c>
      <c r="W13" s="86">
        <v>23</v>
      </c>
      <c r="X13" s="86">
        <v>1</v>
      </c>
      <c r="Y13" s="86">
        <v>21</v>
      </c>
      <c r="Z13" s="86">
        <v>21</v>
      </c>
      <c r="AA13" s="86">
        <v>17</v>
      </c>
      <c r="AB13" s="86">
        <v>14</v>
      </c>
      <c r="AC13" s="86">
        <v>0</v>
      </c>
      <c r="AD13" s="88">
        <v>0</v>
      </c>
      <c r="AE13" s="86">
        <v>19</v>
      </c>
      <c r="AF13" s="86">
        <v>5</v>
      </c>
      <c r="AG13" s="86">
        <v>0</v>
      </c>
      <c r="AH13" s="86">
        <v>0</v>
      </c>
      <c r="AI13" s="86">
        <v>1</v>
      </c>
      <c r="AJ13" s="86">
        <v>0</v>
      </c>
      <c r="AK13" s="86">
        <v>0</v>
      </c>
    </row>
    <row r="14" spans="2:37" s="72" customFormat="1" ht="16.5">
      <c r="B14" s="84">
        <v>4</v>
      </c>
      <c r="C14" s="85" t="s">
        <v>109</v>
      </c>
      <c r="D14" s="86">
        <v>1</v>
      </c>
      <c r="E14" s="86">
        <v>9</v>
      </c>
      <c r="F14" s="86">
        <v>4</v>
      </c>
      <c r="G14" s="86">
        <v>4</v>
      </c>
      <c r="H14" s="86">
        <v>5</v>
      </c>
      <c r="I14" s="86">
        <v>2</v>
      </c>
      <c r="J14" s="86">
        <v>2</v>
      </c>
      <c r="K14" s="86">
        <v>1</v>
      </c>
      <c r="L14" s="86">
        <v>3</v>
      </c>
      <c r="M14" s="86">
        <v>0</v>
      </c>
      <c r="N14" s="86">
        <v>2</v>
      </c>
      <c r="O14" s="86">
        <v>4</v>
      </c>
      <c r="P14" s="86">
        <v>3</v>
      </c>
      <c r="Q14" s="86">
        <v>5</v>
      </c>
      <c r="R14" s="87">
        <f t="shared" si="0"/>
        <v>45</v>
      </c>
      <c r="S14" s="86">
        <v>0</v>
      </c>
      <c r="T14" s="86">
        <v>0</v>
      </c>
      <c r="U14" s="86">
        <v>1</v>
      </c>
      <c r="V14" s="86">
        <v>44</v>
      </c>
      <c r="W14" s="86">
        <v>45</v>
      </c>
      <c r="X14" s="86">
        <v>0</v>
      </c>
      <c r="Y14" s="86">
        <v>16</v>
      </c>
      <c r="Z14" s="86">
        <v>16</v>
      </c>
      <c r="AA14" s="86">
        <v>17</v>
      </c>
      <c r="AB14" s="86">
        <v>15</v>
      </c>
      <c r="AC14" s="86">
        <v>0</v>
      </c>
      <c r="AD14" s="88">
        <v>0</v>
      </c>
      <c r="AE14" s="86">
        <v>44</v>
      </c>
      <c r="AF14" s="86">
        <v>1</v>
      </c>
      <c r="AG14" s="86">
        <v>0</v>
      </c>
      <c r="AH14" s="86">
        <v>0</v>
      </c>
      <c r="AI14" s="86">
        <v>0</v>
      </c>
      <c r="AJ14" s="86">
        <v>0</v>
      </c>
      <c r="AK14" s="86">
        <v>0</v>
      </c>
    </row>
    <row r="15" spans="2:37" s="72" customFormat="1" ht="16.5">
      <c r="B15" s="84">
        <v>5</v>
      </c>
      <c r="C15" s="85" t="s">
        <v>110</v>
      </c>
      <c r="D15" s="86">
        <v>0</v>
      </c>
      <c r="E15" s="86">
        <v>7</v>
      </c>
      <c r="F15" s="86">
        <v>4</v>
      </c>
      <c r="G15" s="86">
        <v>0</v>
      </c>
      <c r="H15" s="86">
        <v>6</v>
      </c>
      <c r="I15" s="86">
        <v>10</v>
      </c>
      <c r="J15" s="86">
        <v>2</v>
      </c>
      <c r="K15" s="86">
        <v>3</v>
      </c>
      <c r="L15" s="86">
        <v>0</v>
      </c>
      <c r="M15" s="86">
        <v>0</v>
      </c>
      <c r="N15" s="86">
        <v>0</v>
      </c>
      <c r="O15" s="86">
        <v>6</v>
      </c>
      <c r="P15" s="86">
        <v>9</v>
      </c>
      <c r="Q15" s="86">
        <v>2</v>
      </c>
      <c r="R15" s="87">
        <f t="shared" si="0"/>
        <v>49</v>
      </c>
      <c r="S15" s="86">
        <v>21</v>
      </c>
      <c r="T15" s="86">
        <v>19</v>
      </c>
      <c r="U15" s="86">
        <v>0</v>
      </c>
      <c r="V15" s="86">
        <v>9</v>
      </c>
      <c r="W15" s="86">
        <v>49</v>
      </c>
      <c r="X15" s="86">
        <v>0</v>
      </c>
      <c r="Y15" s="86">
        <v>46</v>
      </c>
      <c r="Z15" s="86">
        <v>46</v>
      </c>
      <c r="AA15" s="86">
        <v>24</v>
      </c>
      <c r="AB15" s="86">
        <v>11</v>
      </c>
      <c r="AC15" s="86">
        <v>0</v>
      </c>
      <c r="AD15" s="88">
        <v>0</v>
      </c>
      <c r="AE15" s="86">
        <v>41</v>
      </c>
      <c r="AF15" s="86">
        <v>8</v>
      </c>
      <c r="AG15" s="86">
        <v>0</v>
      </c>
      <c r="AH15" s="86">
        <v>0</v>
      </c>
      <c r="AI15" s="86">
        <v>0</v>
      </c>
      <c r="AJ15" s="86">
        <v>0</v>
      </c>
      <c r="AK15" s="86">
        <v>0</v>
      </c>
    </row>
    <row r="16" spans="2:37" s="72" customFormat="1" ht="16.5">
      <c r="B16" s="84">
        <v>6</v>
      </c>
      <c r="C16" s="85" t="s">
        <v>111</v>
      </c>
      <c r="D16" s="86">
        <v>0</v>
      </c>
      <c r="E16" s="86">
        <v>1</v>
      </c>
      <c r="F16" s="86">
        <v>0</v>
      </c>
      <c r="G16" s="86">
        <v>1</v>
      </c>
      <c r="H16" s="86">
        <v>3</v>
      </c>
      <c r="I16" s="86">
        <v>1</v>
      </c>
      <c r="J16" s="86">
        <v>3</v>
      </c>
      <c r="K16" s="86">
        <v>0</v>
      </c>
      <c r="L16" s="86">
        <v>1</v>
      </c>
      <c r="M16" s="86">
        <v>0</v>
      </c>
      <c r="N16" s="86">
        <v>0</v>
      </c>
      <c r="O16" s="86">
        <v>4</v>
      </c>
      <c r="P16" s="86">
        <v>3</v>
      </c>
      <c r="Q16" s="86">
        <v>1</v>
      </c>
      <c r="R16" s="87">
        <f t="shared" si="0"/>
        <v>18</v>
      </c>
      <c r="S16" s="86">
        <v>4</v>
      </c>
      <c r="T16" s="86">
        <v>14</v>
      </c>
      <c r="U16" s="86">
        <v>0</v>
      </c>
      <c r="V16" s="86">
        <v>0</v>
      </c>
      <c r="W16" s="86">
        <v>18</v>
      </c>
      <c r="X16" s="86">
        <v>0</v>
      </c>
      <c r="Y16" s="86">
        <v>15</v>
      </c>
      <c r="Z16" s="86">
        <v>15</v>
      </c>
      <c r="AA16" s="86">
        <v>10</v>
      </c>
      <c r="AB16" s="86">
        <v>2</v>
      </c>
      <c r="AC16" s="86">
        <v>0</v>
      </c>
      <c r="AD16" s="88">
        <v>0</v>
      </c>
      <c r="AE16" s="86">
        <v>16</v>
      </c>
      <c r="AF16" s="86">
        <v>2</v>
      </c>
      <c r="AG16" s="86">
        <v>0</v>
      </c>
      <c r="AH16" s="86">
        <v>0</v>
      </c>
      <c r="AI16" s="86">
        <v>2</v>
      </c>
      <c r="AJ16" s="86">
        <v>0</v>
      </c>
      <c r="AK16" s="86">
        <v>0</v>
      </c>
    </row>
    <row r="17" spans="2:37" s="72" customFormat="1" ht="16.5">
      <c r="B17" s="84">
        <v>7</v>
      </c>
      <c r="C17" s="85" t="s">
        <v>112</v>
      </c>
      <c r="D17" s="86">
        <v>10</v>
      </c>
      <c r="E17" s="86">
        <v>6</v>
      </c>
      <c r="F17" s="86">
        <v>8</v>
      </c>
      <c r="G17" s="86">
        <v>8</v>
      </c>
      <c r="H17" s="86">
        <v>45</v>
      </c>
      <c r="I17" s="86">
        <v>8</v>
      </c>
      <c r="J17" s="86">
        <v>6</v>
      </c>
      <c r="K17" s="86">
        <v>6</v>
      </c>
      <c r="L17" s="86">
        <v>4</v>
      </c>
      <c r="M17" s="86">
        <v>7</v>
      </c>
      <c r="N17" s="86">
        <v>8</v>
      </c>
      <c r="O17" s="86">
        <v>10</v>
      </c>
      <c r="P17" s="86">
        <v>7</v>
      </c>
      <c r="Q17" s="86">
        <v>8</v>
      </c>
      <c r="R17" s="87">
        <v>141</v>
      </c>
      <c r="S17" s="86">
        <v>0</v>
      </c>
      <c r="T17" s="86">
        <v>3</v>
      </c>
      <c r="U17" s="86">
        <v>2</v>
      </c>
      <c r="V17" s="86">
        <v>48</v>
      </c>
      <c r="W17" s="86">
        <v>50</v>
      </c>
      <c r="X17" s="86">
        <v>0</v>
      </c>
      <c r="Y17" s="86">
        <v>30</v>
      </c>
      <c r="Z17" s="86">
        <v>30</v>
      </c>
      <c r="AA17" s="86">
        <v>47</v>
      </c>
      <c r="AB17" s="86">
        <v>58</v>
      </c>
      <c r="AC17" s="86">
        <v>0</v>
      </c>
      <c r="AD17" s="88">
        <v>0</v>
      </c>
      <c r="AE17" s="86">
        <v>136</v>
      </c>
      <c r="AF17" s="86">
        <v>3</v>
      </c>
      <c r="AG17" s="86">
        <v>2</v>
      </c>
      <c r="AH17" s="86">
        <v>0</v>
      </c>
      <c r="AI17" s="86">
        <v>0</v>
      </c>
      <c r="AJ17" s="86">
        <v>0</v>
      </c>
      <c r="AK17" s="86">
        <v>0</v>
      </c>
    </row>
    <row r="18" spans="2:37" s="72" customFormat="1" ht="16.5">
      <c r="B18" s="84">
        <v>8</v>
      </c>
      <c r="C18" s="85" t="s">
        <v>113</v>
      </c>
      <c r="D18" s="86">
        <v>0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86">
        <v>0</v>
      </c>
      <c r="P18" s="86">
        <v>0</v>
      </c>
      <c r="Q18" s="86">
        <v>0</v>
      </c>
      <c r="R18" s="87">
        <f t="shared" ref="R18:R23" si="1">SUM(D18:Q18)</f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6">
        <v>0</v>
      </c>
      <c r="Y18" s="86">
        <v>0</v>
      </c>
      <c r="Z18" s="86">
        <v>0</v>
      </c>
      <c r="AA18" s="86">
        <v>0</v>
      </c>
      <c r="AB18" s="86">
        <v>0</v>
      </c>
      <c r="AC18" s="86">
        <v>0</v>
      </c>
      <c r="AD18" s="88">
        <v>0</v>
      </c>
      <c r="AE18" s="86">
        <v>0</v>
      </c>
      <c r="AF18" s="86">
        <v>0</v>
      </c>
      <c r="AG18" s="86">
        <v>0</v>
      </c>
      <c r="AH18" s="86">
        <v>0</v>
      </c>
      <c r="AI18" s="86">
        <v>0</v>
      </c>
      <c r="AJ18" s="86">
        <v>0</v>
      </c>
      <c r="AK18" s="86">
        <v>0</v>
      </c>
    </row>
    <row r="19" spans="2:37" s="72" customFormat="1" ht="16.5">
      <c r="B19" s="84">
        <v>9</v>
      </c>
      <c r="C19" s="85" t="s">
        <v>114</v>
      </c>
      <c r="D19" s="86">
        <v>1</v>
      </c>
      <c r="E19" s="86">
        <v>7</v>
      </c>
      <c r="F19" s="86">
        <v>0</v>
      </c>
      <c r="G19" s="86">
        <v>2</v>
      </c>
      <c r="H19" s="86">
        <v>5</v>
      </c>
      <c r="I19" s="86">
        <v>7</v>
      </c>
      <c r="J19" s="86">
        <v>1</v>
      </c>
      <c r="K19" s="86">
        <v>2</v>
      </c>
      <c r="L19" s="86">
        <v>1</v>
      </c>
      <c r="M19" s="86">
        <v>0</v>
      </c>
      <c r="N19" s="86">
        <v>0</v>
      </c>
      <c r="O19" s="86">
        <v>4</v>
      </c>
      <c r="P19" s="86">
        <v>3</v>
      </c>
      <c r="Q19" s="86">
        <v>0</v>
      </c>
      <c r="R19" s="87">
        <f t="shared" si="1"/>
        <v>33</v>
      </c>
      <c r="S19" s="86">
        <v>3</v>
      </c>
      <c r="T19" s="86">
        <v>0</v>
      </c>
      <c r="U19" s="86">
        <v>0</v>
      </c>
      <c r="V19" s="86">
        <v>30</v>
      </c>
      <c r="W19" s="86">
        <v>33</v>
      </c>
      <c r="X19" s="86">
        <v>0</v>
      </c>
      <c r="Y19" s="86">
        <v>5</v>
      </c>
      <c r="Z19" s="86">
        <v>5</v>
      </c>
      <c r="AA19" s="86">
        <v>6</v>
      </c>
      <c r="AB19" s="86">
        <v>6</v>
      </c>
      <c r="AC19" s="86">
        <v>0</v>
      </c>
      <c r="AD19" s="88">
        <v>0</v>
      </c>
      <c r="AE19" s="86">
        <v>31</v>
      </c>
      <c r="AF19" s="86">
        <v>2</v>
      </c>
      <c r="AG19" s="86">
        <v>0</v>
      </c>
      <c r="AH19" s="86">
        <v>0</v>
      </c>
      <c r="AI19" s="86">
        <v>0</v>
      </c>
      <c r="AJ19" s="86">
        <v>0</v>
      </c>
      <c r="AK19" s="86">
        <v>0</v>
      </c>
    </row>
    <row r="20" spans="2:37" s="72" customFormat="1" ht="16.5">
      <c r="B20" s="84">
        <v>10</v>
      </c>
      <c r="C20" s="85" t="s">
        <v>115</v>
      </c>
      <c r="D20" s="86">
        <v>0</v>
      </c>
      <c r="E20" s="86">
        <v>0</v>
      </c>
      <c r="F20" s="86">
        <v>0</v>
      </c>
      <c r="G20" s="86">
        <v>0</v>
      </c>
      <c r="H20" s="86">
        <v>0</v>
      </c>
      <c r="I20" s="86">
        <v>1</v>
      </c>
      <c r="J20" s="86">
        <v>0</v>
      </c>
      <c r="K20" s="86">
        <v>0</v>
      </c>
      <c r="L20" s="86">
        <v>1</v>
      </c>
      <c r="M20" s="86">
        <v>0</v>
      </c>
      <c r="N20" s="86">
        <v>1</v>
      </c>
      <c r="O20" s="86">
        <v>0</v>
      </c>
      <c r="P20" s="86">
        <v>3</v>
      </c>
      <c r="Q20" s="86">
        <v>0</v>
      </c>
      <c r="R20" s="87">
        <f t="shared" si="1"/>
        <v>6</v>
      </c>
      <c r="S20" s="86">
        <v>2</v>
      </c>
      <c r="T20" s="86">
        <v>0</v>
      </c>
      <c r="U20" s="86">
        <v>0</v>
      </c>
      <c r="V20" s="86">
        <v>4</v>
      </c>
      <c r="W20" s="86">
        <v>6</v>
      </c>
      <c r="X20" s="86">
        <v>0</v>
      </c>
      <c r="Y20" s="86">
        <v>6</v>
      </c>
      <c r="Z20" s="86">
        <v>6</v>
      </c>
      <c r="AA20" s="86">
        <v>5</v>
      </c>
      <c r="AB20" s="86">
        <v>3</v>
      </c>
      <c r="AC20" s="86">
        <v>0</v>
      </c>
      <c r="AD20" s="88">
        <v>0</v>
      </c>
      <c r="AE20" s="86">
        <v>5</v>
      </c>
      <c r="AF20" s="86">
        <v>1</v>
      </c>
      <c r="AG20" s="86">
        <v>0</v>
      </c>
      <c r="AH20" s="86">
        <v>0</v>
      </c>
      <c r="AI20" s="86">
        <v>0</v>
      </c>
      <c r="AJ20" s="86">
        <v>0</v>
      </c>
      <c r="AK20" s="86">
        <v>0</v>
      </c>
    </row>
    <row r="21" spans="2:37" s="72" customFormat="1" ht="16.5">
      <c r="B21" s="84">
        <v>11</v>
      </c>
      <c r="C21" s="85" t="s">
        <v>116</v>
      </c>
      <c r="D21" s="86">
        <v>4</v>
      </c>
      <c r="E21" s="86">
        <v>3</v>
      </c>
      <c r="F21" s="86">
        <v>1</v>
      </c>
      <c r="G21" s="86">
        <v>1</v>
      </c>
      <c r="H21" s="86">
        <v>3</v>
      </c>
      <c r="I21" s="86">
        <v>3</v>
      </c>
      <c r="J21" s="86">
        <v>0</v>
      </c>
      <c r="K21" s="86">
        <v>1</v>
      </c>
      <c r="L21" s="86">
        <v>0</v>
      </c>
      <c r="M21" s="86">
        <v>0</v>
      </c>
      <c r="N21" s="86">
        <v>0</v>
      </c>
      <c r="O21" s="86">
        <v>2</v>
      </c>
      <c r="P21" s="86">
        <v>0</v>
      </c>
      <c r="Q21" s="86">
        <v>0</v>
      </c>
      <c r="R21" s="87">
        <f t="shared" si="1"/>
        <v>18</v>
      </c>
      <c r="S21" s="86">
        <v>18</v>
      </c>
      <c r="T21" s="86">
        <v>0</v>
      </c>
      <c r="U21" s="86">
        <v>0</v>
      </c>
      <c r="V21" s="86">
        <v>0</v>
      </c>
      <c r="W21" s="86">
        <v>15</v>
      </c>
      <c r="X21" s="86">
        <v>3</v>
      </c>
      <c r="Y21" s="86">
        <v>8</v>
      </c>
      <c r="Z21" s="86">
        <v>8</v>
      </c>
      <c r="AA21" s="86">
        <v>9</v>
      </c>
      <c r="AB21" s="86">
        <v>6</v>
      </c>
      <c r="AC21" s="86">
        <v>0</v>
      </c>
      <c r="AD21" s="88">
        <v>0</v>
      </c>
      <c r="AE21" s="86">
        <v>12</v>
      </c>
      <c r="AF21" s="86">
        <v>6</v>
      </c>
      <c r="AG21" s="86">
        <v>0</v>
      </c>
      <c r="AH21" s="86">
        <v>0</v>
      </c>
      <c r="AI21" s="86">
        <v>0</v>
      </c>
      <c r="AJ21" s="86">
        <v>0</v>
      </c>
      <c r="AK21" s="86">
        <v>0</v>
      </c>
    </row>
    <row r="22" spans="2:37" s="72" customFormat="1" ht="16.5">
      <c r="B22" s="84">
        <v>12</v>
      </c>
      <c r="C22" s="85" t="s">
        <v>117</v>
      </c>
      <c r="D22" s="86">
        <v>1</v>
      </c>
      <c r="E22" s="86">
        <v>0</v>
      </c>
      <c r="F22" s="86">
        <v>1</v>
      </c>
      <c r="G22" s="86">
        <v>0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6">
        <v>2</v>
      </c>
      <c r="P22" s="86">
        <v>3</v>
      </c>
      <c r="Q22" s="86">
        <v>1</v>
      </c>
      <c r="R22" s="87">
        <f t="shared" si="1"/>
        <v>8</v>
      </c>
      <c r="S22" s="86">
        <v>0</v>
      </c>
      <c r="T22" s="86">
        <v>0</v>
      </c>
      <c r="U22" s="86">
        <v>1</v>
      </c>
      <c r="V22" s="86">
        <v>7</v>
      </c>
      <c r="W22" s="86">
        <v>8</v>
      </c>
      <c r="X22" s="86">
        <v>0</v>
      </c>
      <c r="Y22" s="86">
        <v>8</v>
      </c>
      <c r="Z22" s="86">
        <v>8</v>
      </c>
      <c r="AA22" s="86">
        <v>8</v>
      </c>
      <c r="AB22" s="86">
        <v>8</v>
      </c>
      <c r="AC22" s="86">
        <v>0</v>
      </c>
      <c r="AD22" s="88">
        <v>0</v>
      </c>
      <c r="AE22" s="86">
        <v>6</v>
      </c>
      <c r="AF22" s="86">
        <v>2</v>
      </c>
      <c r="AG22" s="86">
        <v>0</v>
      </c>
      <c r="AH22" s="86">
        <v>0</v>
      </c>
      <c r="AI22" s="86">
        <v>1</v>
      </c>
      <c r="AJ22" s="86">
        <v>0</v>
      </c>
      <c r="AK22" s="86">
        <v>0</v>
      </c>
    </row>
    <row r="23" spans="2:37" s="72" customFormat="1" ht="16.5">
      <c r="B23" s="84">
        <v>13</v>
      </c>
      <c r="C23" s="85" t="s">
        <v>118</v>
      </c>
      <c r="D23" s="86">
        <v>0</v>
      </c>
      <c r="E23" s="86">
        <v>0</v>
      </c>
      <c r="F23" s="86">
        <v>0</v>
      </c>
      <c r="G23" s="86">
        <v>0</v>
      </c>
      <c r="H23" s="86">
        <v>0</v>
      </c>
      <c r="I23" s="86">
        <v>1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6">
        <v>1</v>
      </c>
      <c r="P23" s="86">
        <v>0</v>
      </c>
      <c r="Q23" s="86">
        <v>1</v>
      </c>
      <c r="R23" s="87">
        <f t="shared" si="1"/>
        <v>3</v>
      </c>
      <c r="S23" s="86">
        <v>0</v>
      </c>
      <c r="T23" s="86">
        <v>0</v>
      </c>
      <c r="U23" s="86">
        <v>3</v>
      </c>
      <c r="V23" s="86">
        <v>0</v>
      </c>
      <c r="W23" s="86">
        <v>3</v>
      </c>
      <c r="X23" s="86">
        <v>0</v>
      </c>
      <c r="Y23" s="86">
        <v>0</v>
      </c>
      <c r="Z23" s="86">
        <v>0</v>
      </c>
      <c r="AA23" s="86">
        <v>0</v>
      </c>
      <c r="AB23" s="86">
        <v>0</v>
      </c>
      <c r="AC23" s="86">
        <v>3</v>
      </c>
      <c r="AD23" s="88">
        <v>0</v>
      </c>
      <c r="AE23" s="86">
        <v>3</v>
      </c>
      <c r="AF23" s="86">
        <v>0</v>
      </c>
      <c r="AG23" s="86">
        <v>0</v>
      </c>
      <c r="AH23" s="86">
        <v>0</v>
      </c>
      <c r="AI23" s="86">
        <v>0</v>
      </c>
      <c r="AJ23" s="86">
        <v>0</v>
      </c>
      <c r="AK23" s="86">
        <v>0</v>
      </c>
    </row>
    <row r="24" spans="2:37" s="72" customFormat="1" ht="16.5">
      <c r="B24" s="91" t="s">
        <v>31</v>
      </c>
      <c r="C24" s="92"/>
      <c r="D24" s="89">
        <f>SUM(D11:D23)</f>
        <v>23</v>
      </c>
      <c r="E24" s="89">
        <f t="shared" ref="E24:N24" si="2">SUM(E11:E23)</f>
        <v>39</v>
      </c>
      <c r="F24" s="89">
        <f t="shared" si="2"/>
        <v>22</v>
      </c>
      <c r="G24" s="89">
        <f t="shared" si="2"/>
        <v>18</v>
      </c>
      <c r="H24" s="89">
        <f t="shared" si="2"/>
        <v>81</v>
      </c>
      <c r="I24" s="89">
        <f t="shared" si="2"/>
        <v>47</v>
      </c>
      <c r="J24" s="89">
        <f t="shared" si="2"/>
        <v>16</v>
      </c>
      <c r="K24" s="89">
        <f t="shared" si="2"/>
        <v>13</v>
      </c>
      <c r="L24" s="89">
        <f t="shared" si="2"/>
        <v>11</v>
      </c>
      <c r="M24" s="89">
        <f t="shared" si="2"/>
        <v>8</v>
      </c>
      <c r="N24" s="89">
        <f t="shared" si="2"/>
        <v>15</v>
      </c>
      <c r="O24" s="89">
        <f>SUM(O11:O23)</f>
        <v>42</v>
      </c>
      <c r="P24" s="89">
        <f t="shared" ref="P24:Q24" si="3">SUM(P11:P23)</f>
        <v>41</v>
      </c>
      <c r="Q24" s="89">
        <f t="shared" si="3"/>
        <v>23</v>
      </c>
      <c r="R24" s="87">
        <f>SUM(R11:R23)</f>
        <v>399</v>
      </c>
      <c r="S24" s="89">
        <f t="shared" ref="S24:AC24" si="4">SUM(S11:S23)</f>
        <v>64</v>
      </c>
      <c r="T24" s="89">
        <f t="shared" si="4"/>
        <v>73</v>
      </c>
      <c r="U24" s="89">
        <f t="shared" si="4"/>
        <v>7</v>
      </c>
      <c r="V24" s="89">
        <f t="shared" si="4"/>
        <v>204</v>
      </c>
      <c r="W24" s="89">
        <f t="shared" si="4"/>
        <v>304</v>
      </c>
      <c r="X24" s="89">
        <f t="shared" si="4"/>
        <v>4</v>
      </c>
      <c r="Y24" s="89">
        <f t="shared" si="4"/>
        <v>206</v>
      </c>
      <c r="Z24" s="89">
        <f t="shared" si="4"/>
        <v>206</v>
      </c>
      <c r="AA24" s="89">
        <f t="shared" si="4"/>
        <v>189</v>
      </c>
      <c r="AB24" s="89">
        <f t="shared" si="4"/>
        <v>150</v>
      </c>
      <c r="AC24" s="89">
        <f t="shared" si="4"/>
        <v>3</v>
      </c>
      <c r="AD24" s="90">
        <v>0</v>
      </c>
      <c r="AE24" s="89">
        <f t="shared" ref="AE24:AK24" si="5">SUM(AE11:AE23)</f>
        <v>356</v>
      </c>
      <c r="AF24" s="89">
        <f t="shared" si="5"/>
        <v>37</v>
      </c>
      <c r="AG24" s="89">
        <f t="shared" si="5"/>
        <v>3</v>
      </c>
      <c r="AH24" s="89">
        <f t="shared" si="5"/>
        <v>0</v>
      </c>
      <c r="AI24" s="89">
        <f t="shared" si="5"/>
        <v>5</v>
      </c>
      <c r="AJ24" s="89">
        <f t="shared" si="5"/>
        <v>1</v>
      </c>
      <c r="AK24" s="89">
        <f t="shared" si="5"/>
        <v>0</v>
      </c>
    </row>
  </sheetData>
  <pageMargins left="0.7" right="0.7" top="0.75" bottom="0.75" header="0.3" footer="0.3"/>
  <pageSetup paperSize="5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DE2C-C4D3-477F-9BC7-2C19FAFC3C30}">
  <dimension ref="A1:AJ25"/>
  <sheetViews>
    <sheetView topLeftCell="J7" workbookViewId="0">
      <selection activeCell="R19" sqref="R19"/>
    </sheetView>
  </sheetViews>
  <sheetFormatPr defaultRowHeight="15"/>
  <cols>
    <col min="1" max="1" width="5.85546875" customWidth="1"/>
    <col min="2" max="2" width="15.28515625" customWidth="1"/>
    <col min="3" max="16" width="5.7109375" customWidth="1"/>
    <col min="17" max="17" width="8.7109375" customWidth="1"/>
    <col min="18" max="19" width="7.7109375" customWidth="1"/>
    <col min="20" max="20" width="8.7109375" customWidth="1"/>
    <col min="21" max="21" width="5.7109375" customWidth="1"/>
    <col min="22" max="29" width="6.7109375" customWidth="1"/>
    <col min="30" max="30" width="8.42578125" customWidth="1"/>
    <col min="31" max="31" width="9.7109375" customWidth="1"/>
    <col min="32" max="32" width="8.5703125" customWidth="1"/>
    <col min="33" max="36" width="6.7109375" customWidth="1"/>
  </cols>
  <sheetData>
    <row r="1" spans="1:36" s="72" customFormat="1" ht="20.25">
      <c r="A1" s="106" t="s">
        <v>126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</row>
    <row r="2" spans="1:36" s="72" customFormat="1" ht="16.5"/>
    <row r="3" spans="1:36" s="72" customFormat="1" ht="16.5">
      <c r="A3" s="73" t="s">
        <v>38</v>
      </c>
      <c r="B3" s="73"/>
      <c r="C3" s="72" t="s">
        <v>40</v>
      </c>
      <c r="D3" s="72" t="s">
        <v>104</v>
      </c>
    </row>
    <row r="4" spans="1:36" s="72" customFormat="1" ht="10.5" customHeight="1">
      <c r="A4" s="73" t="s">
        <v>1</v>
      </c>
      <c r="B4" s="73"/>
      <c r="C4" s="72" t="s">
        <v>121</v>
      </c>
    </row>
    <row r="5" spans="1:36" s="72" customFormat="1" ht="5.25" customHeight="1">
      <c r="A5" s="73" t="s">
        <v>2</v>
      </c>
      <c r="B5" s="73"/>
      <c r="D5" s="74">
        <v>2025</v>
      </c>
    </row>
    <row r="6" spans="1:36" s="72" customFormat="1" ht="72" customHeight="1">
      <c r="A6" s="93" t="s">
        <v>3</v>
      </c>
      <c r="B6" s="93" t="s">
        <v>106</v>
      </c>
      <c r="C6" s="103" t="s">
        <v>4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  <c r="Q6" s="108" t="s">
        <v>5</v>
      </c>
      <c r="R6" s="96" t="s">
        <v>32</v>
      </c>
      <c r="S6" s="97"/>
      <c r="T6" s="97"/>
      <c r="U6" s="98"/>
      <c r="V6" s="103" t="s">
        <v>6</v>
      </c>
      <c r="W6" s="104"/>
      <c r="X6" s="104"/>
      <c r="Y6" s="104"/>
      <c r="Z6" s="104"/>
      <c r="AA6" s="105"/>
      <c r="AB6" s="93" t="s">
        <v>7</v>
      </c>
      <c r="AC6" s="107" t="s">
        <v>8</v>
      </c>
      <c r="AD6" s="103" t="s">
        <v>9</v>
      </c>
      <c r="AE6" s="104"/>
      <c r="AF6" s="104"/>
      <c r="AG6" s="105"/>
      <c r="AH6" s="108" t="s">
        <v>10</v>
      </c>
      <c r="AI6" s="108" t="s">
        <v>11</v>
      </c>
      <c r="AJ6" s="75" t="s">
        <v>12</v>
      </c>
    </row>
    <row r="7" spans="1:36" s="72" customFormat="1" ht="33" customHeight="1">
      <c r="A7" s="94"/>
      <c r="B7" s="94"/>
      <c r="C7" s="103" t="s">
        <v>13</v>
      </c>
      <c r="D7" s="104"/>
      <c r="E7" s="104"/>
      <c r="F7" s="104"/>
      <c r="G7" s="104"/>
      <c r="H7" s="104"/>
      <c r="I7" s="105"/>
      <c r="J7" s="103" t="s">
        <v>14</v>
      </c>
      <c r="K7" s="104"/>
      <c r="L7" s="104"/>
      <c r="M7" s="104"/>
      <c r="N7" s="104"/>
      <c r="O7" s="104"/>
      <c r="P7" s="105"/>
      <c r="Q7" s="110"/>
      <c r="R7" s="99" t="s">
        <v>35</v>
      </c>
      <c r="S7" s="99" t="s">
        <v>36</v>
      </c>
      <c r="T7" s="101" t="s">
        <v>37</v>
      </c>
      <c r="U7" s="102"/>
      <c r="V7" s="111" t="s">
        <v>15</v>
      </c>
      <c r="W7" s="112"/>
      <c r="X7" s="75" t="s">
        <v>16</v>
      </c>
      <c r="Y7" s="75"/>
      <c r="Z7" s="75" t="s">
        <v>17</v>
      </c>
      <c r="AA7" s="75" t="s">
        <v>18</v>
      </c>
      <c r="AB7" s="94"/>
      <c r="AC7" s="107"/>
      <c r="AD7" s="93" t="s">
        <v>19</v>
      </c>
      <c r="AE7" s="93" t="s">
        <v>20</v>
      </c>
      <c r="AF7" s="93" t="s">
        <v>21</v>
      </c>
      <c r="AG7" s="108" t="s">
        <v>22</v>
      </c>
      <c r="AH7" s="110"/>
      <c r="AI7" s="110"/>
      <c r="AJ7" s="75"/>
    </row>
    <row r="8" spans="1:36" s="72" customFormat="1" ht="21" customHeight="1">
      <c r="A8" s="95"/>
      <c r="B8" s="95"/>
      <c r="C8" s="75" t="s">
        <v>23</v>
      </c>
      <c r="D8" s="76" t="s">
        <v>24</v>
      </c>
      <c r="E8" s="77" t="s">
        <v>25</v>
      </c>
      <c r="F8" s="78" t="s">
        <v>26</v>
      </c>
      <c r="G8" s="78" t="s">
        <v>27</v>
      </c>
      <c r="H8" s="78" t="s">
        <v>28</v>
      </c>
      <c r="I8" s="75" t="s">
        <v>29</v>
      </c>
      <c r="J8" s="75" t="s">
        <v>23</v>
      </c>
      <c r="K8" s="76" t="s">
        <v>24</v>
      </c>
      <c r="L8" s="77" t="s">
        <v>25</v>
      </c>
      <c r="M8" s="78" t="s">
        <v>26</v>
      </c>
      <c r="N8" s="78" t="s">
        <v>27</v>
      </c>
      <c r="O8" s="78" t="s">
        <v>28</v>
      </c>
      <c r="P8" s="75" t="s">
        <v>29</v>
      </c>
      <c r="Q8" s="109"/>
      <c r="R8" s="100"/>
      <c r="S8" s="100"/>
      <c r="T8" s="79" t="s">
        <v>33</v>
      </c>
      <c r="U8" s="79" t="s">
        <v>34</v>
      </c>
      <c r="V8" s="80" t="s">
        <v>42</v>
      </c>
      <c r="W8" s="80" t="s">
        <v>41</v>
      </c>
      <c r="X8" s="75" t="s">
        <v>30</v>
      </c>
      <c r="Y8" s="75" t="s">
        <v>30</v>
      </c>
      <c r="Z8" s="75" t="s">
        <v>30</v>
      </c>
      <c r="AA8" s="75" t="s">
        <v>30</v>
      </c>
      <c r="AB8" s="95"/>
      <c r="AC8" s="107"/>
      <c r="AD8" s="95"/>
      <c r="AE8" s="95"/>
      <c r="AF8" s="95"/>
      <c r="AG8" s="109"/>
      <c r="AH8" s="109"/>
      <c r="AI8" s="109"/>
      <c r="AJ8" s="75"/>
    </row>
    <row r="9" spans="1:36" s="72" customFormat="1" ht="24" customHeight="1">
      <c r="A9" s="82">
        <v>1</v>
      </c>
      <c r="B9" s="82">
        <v>2</v>
      </c>
      <c r="C9" s="83">
        <v>3</v>
      </c>
      <c r="D9" s="82">
        <v>4</v>
      </c>
      <c r="E9" s="82">
        <v>5</v>
      </c>
      <c r="F9" s="83">
        <v>6</v>
      </c>
      <c r="G9" s="82">
        <v>7</v>
      </c>
      <c r="H9" s="82">
        <v>8</v>
      </c>
      <c r="I9" s="83">
        <v>9</v>
      </c>
      <c r="J9" s="82">
        <v>10</v>
      </c>
      <c r="K9" s="82">
        <v>11</v>
      </c>
      <c r="L9" s="83">
        <v>12</v>
      </c>
      <c r="M9" s="82">
        <v>13</v>
      </c>
      <c r="N9" s="82">
        <v>14</v>
      </c>
      <c r="O9" s="83">
        <v>15</v>
      </c>
      <c r="P9" s="82">
        <v>16</v>
      </c>
      <c r="Q9" s="82">
        <v>17</v>
      </c>
      <c r="R9" s="83">
        <v>18</v>
      </c>
      <c r="S9" s="82">
        <v>19</v>
      </c>
      <c r="T9" s="82">
        <v>20</v>
      </c>
      <c r="U9" s="83">
        <v>21</v>
      </c>
      <c r="V9" s="82">
        <v>22</v>
      </c>
      <c r="W9" s="82">
        <v>23</v>
      </c>
      <c r="X9" s="83">
        <v>24</v>
      </c>
      <c r="Y9" s="82">
        <v>25</v>
      </c>
      <c r="Z9" s="82">
        <v>26</v>
      </c>
      <c r="AA9" s="83">
        <v>27</v>
      </c>
      <c r="AB9" s="82">
        <v>28</v>
      </c>
      <c r="AC9" s="82">
        <v>29</v>
      </c>
      <c r="AD9" s="83">
        <v>30</v>
      </c>
      <c r="AE9" s="82">
        <v>31</v>
      </c>
      <c r="AF9" s="82">
        <v>32</v>
      </c>
      <c r="AG9" s="83">
        <v>33</v>
      </c>
      <c r="AH9" s="82">
        <v>34</v>
      </c>
      <c r="AI9" s="82">
        <v>35</v>
      </c>
      <c r="AJ9" s="82">
        <v>36</v>
      </c>
    </row>
    <row r="10" spans="1:36" s="72" customFormat="1" ht="16.5">
      <c r="A10" s="84">
        <v>1</v>
      </c>
      <c r="B10" s="85" t="s">
        <v>107</v>
      </c>
      <c r="C10" s="86">
        <v>1</v>
      </c>
      <c r="D10" s="86">
        <v>1</v>
      </c>
      <c r="E10" s="86">
        <v>1</v>
      </c>
      <c r="F10" s="86">
        <v>1</v>
      </c>
      <c r="G10" s="86">
        <v>7</v>
      </c>
      <c r="H10" s="86">
        <v>4</v>
      </c>
      <c r="I10" s="86">
        <v>2</v>
      </c>
      <c r="J10" s="86">
        <v>0</v>
      </c>
      <c r="K10" s="86">
        <v>1</v>
      </c>
      <c r="L10" s="86">
        <v>0</v>
      </c>
      <c r="M10" s="86">
        <v>0</v>
      </c>
      <c r="N10" s="86">
        <v>6</v>
      </c>
      <c r="O10" s="86">
        <v>3</v>
      </c>
      <c r="P10" s="86">
        <v>2</v>
      </c>
      <c r="Q10" s="87">
        <f>SUM(C10:P10)</f>
        <v>29</v>
      </c>
      <c r="R10" s="86">
        <v>0</v>
      </c>
      <c r="S10" s="86">
        <v>0</v>
      </c>
      <c r="T10" s="86">
        <v>0</v>
      </c>
      <c r="U10" s="86">
        <v>29</v>
      </c>
      <c r="V10" s="86">
        <v>29</v>
      </c>
      <c r="W10" s="86">
        <v>0</v>
      </c>
      <c r="X10" s="86">
        <v>27</v>
      </c>
      <c r="Y10" s="86">
        <v>27</v>
      </c>
      <c r="Z10" s="86">
        <v>29</v>
      </c>
      <c r="AA10" s="86">
        <v>24</v>
      </c>
      <c r="AB10" s="86">
        <v>0</v>
      </c>
      <c r="AC10" s="88">
        <v>0</v>
      </c>
      <c r="AD10" s="86">
        <v>28</v>
      </c>
      <c r="AE10" s="86">
        <v>1</v>
      </c>
      <c r="AF10" s="86">
        <v>0</v>
      </c>
      <c r="AG10" s="86">
        <v>0</v>
      </c>
      <c r="AH10" s="86">
        <v>0</v>
      </c>
      <c r="AI10" s="86">
        <v>0</v>
      </c>
      <c r="AJ10" s="86">
        <v>0</v>
      </c>
    </row>
    <row r="11" spans="1:36" s="72" customFormat="1" ht="16.5">
      <c r="A11" s="84">
        <v>2</v>
      </c>
      <c r="B11" s="85" t="s">
        <v>108</v>
      </c>
      <c r="C11" s="86">
        <v>0</v>
      </c>
      <c r="D11" s="86">
        <v>1</v>
      </c>
      <c r="E11" s="86">
        <v>0</v>
      </c>
      <c r="F11" s="86">
        <v>0</v>
      </c>
      <c r="G11" s="86">
        <v>3</v>
      </c>
      <c r="H11" s="86">
        <v>0</v>
      </c>
      <c r="I11" s="86">
        <v>1</v>
      </c>
      <c r="J11" s="86">
        <v>0</v>
      </c>
      <c r="K11" s="86">
        <v>2</v>
      </c>
      <c r="L11" s="86">
        <v>0</v>
      </c>
      <c r="M11" s="86">
        <v>0</v>
      </c>
      <c r="N11" s="86">
        <v>2</v>
      </c>
      <c r="O11" s="86">
        <v>2</v>
      </c>
      <c r="P11" s="86">
        <v>5</v>
      </c>
      <c r="Q11" s="87">
        <f t="shared" ref="Q11:Q15" si="0">SUM(C11:P11)</f>
        <v>16</v>
      </c>
      <c r="R11" s="86">
        <v>15</v>
      </c>
      <c r="S11" s="86">
        <v>1</v>
      </c>
      <c r="T11" s="86">
        <v>0</v>
      </c>
      <c r="U11" s="86">
        <v>0</v>
      </c>
      <c r="V11" s="86">
        <v>16</v>
      </c>
      <c r="W11" s="86">
        <v>0</v>
      </c>
      <c r="X11" s="86">
        <v>7</v>
      </c>
      <c r="Y11" s="86">
        <v>7</v>
      </c>
      <c r="Z11" s="86">
        <v>11</v>
      </c>
      <c r="AA11" s="86">
        <v>8</v>
      </c>
      <c r="AB11" s="86">
        <v>0</v>
      </c>
      <c r="AC11" s="88">
        <v>0</v>
      </c>
      <c r="AD11" s="86">
        <v>14</v>
      </c>
      <c r="AE11" s="86">
        <v>2</v>
      </c>
      <c r="AF11" s="86">
        <v>0</v>
      </c>
      <c r="AG11" s="86">
        <v>0</v>
      </c>
      <c r="AH11" s="86">
        <v>0</v>
      </c>
      <c r="AI11" s="86">
        <v>0</v>
      </c>
      <c r="AJ11" s="86">
        <v>0</v>
      </c>
    </row>
    <row r="12" spans="1:36" s="72" customFormat="1" ht="16.5">
      <c r="A12" s="84">
        <v>3</v>
      </c>
      <c r="B12" s="85" t="s">
        <v>119</v>
      </c>
      <c r="C12" s="86">
        <v>2</v>
      </c>
      <c r="D12" s="86">
        <v>1</v>
      </c>
      <c r="E12" s="86">
        <v>0</v>
      </c>
      <c r="F12" s="86">
        <v>1</v>
      </c>
      <c r="G12" s="86">
        <v>3</v>
      </c>
      <c r="H12" s="86">
        <v>3</v>
      </c>
      <c r="I12" s="86">
        <v>1</v>
      </c>
      <c r="J12" s="86">
        <v>1</v>
      </c>
      <c r="K12" s="86">
        <v>1</v>
      </c>
      <c r="L12" s="86">
        <v>2</v>
      </c>
      <c r="M12" s="86">
        <v>0</v>
      </c>
      <c r="N12" s="86">
        <v>2</v>
      </c>
      <c r="O12" s="86">
        <v>1</v>
      </c>
      <c r="P12" s="86">
        <v>0</v>
      </c>
      <c r="Q12" s="87">
        <f t="shared" si="0"/>
        <v>18</v>
      </c>
      <c r="R12" s="86">
        <v>0</v>
      </c>
      <c r="S12" s="86">
        <v>2</v>
      </c>
      <c r="T12" s="86">
        <v>0</v>
      </c>
      <c r="U12" s="86">
        <v>16</v>
      </c>
      <c r="V12" s="86">
        <v>18</v>
      </c>
      <c r="W12" s="86">
        <v>0</v>
      </c>
      <c r="X12" s="86">
        <v>10</v>
      </c>
      <c r="Y12" s="86">
        <v>10</v>
      </c>
      <c r="Z12" s="86">
        <v>17</v>
      </c>
      <c r="AA12" s="86">
        <v>15</v>
      </c>
      <c r="AB12" s="86">
        <v>0</v>
      </c>
      <c r="AC12" s="88">
        <v>0</v>
      </c>
      <c r="AD12" s="86">
        <v>15</v>
      </c>
      <c r="AE12" s="86">
        <v>3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</row>
    <row r="13" spans="1:36" s="72" customFormat="1" ht="16.5">
      <c r="A13" s="84">
        <v>4</v>
      </c>
      <c r="B13" s="85" t="s">
        <v>109</v>
      </c>
      <c r="C13" s="86">
        <v>3</v>
      </c>
      <c r="D13" s="86">
        <v>5</v>
      </c>
      <c r="E13" s="86">
        <v>2</v>
      </c>
      <c r="F13" s="86">
        <v>4</v>
      </c>
      <c r="G13" s="86">
        <v>3</v>
      </c>
      <c r="H13" s="86">
        <v>3</v>
      </c>
      <c r="I13" s="86">
        <v>3</v>
      </c>
      <c r="J13" s="86">
        <v>2</v>
      </c>
      <c r="K13" s="86">
        <v>1</v>
      </c>
      <c r="L13" s="86">
        <v>4</v>
      </c>
      <c r="M13" s="86">
        <v>0</v>
      </c>
      <c r="N13" s="86">
        <v>6</v>
      </c>
      <c r="O13" s="86">
        <v>1</v>
      </c>
      <c r="P13" s="86">
        <v>1</v>
      </c>
      <c r="Q13" s="87">
        <f t="shared" si="0"/>
        <v>38</v>
      </c>
      <c r="R13" s="86">
        <v>0</v>
      </c>
      <c r="S13" s="86">
        <v>0</v>
      </c>
      <c r="T13" s="86">
        <v>3</v>
      </c>
      <c r="U13" s="86">
        <v>35</v>
      </c>
      <c r="V13" s="86">
        <v>38</v>
      </c>
      <c r="W13" s="86">
        <v>0</v>
      </c>
      <c r="X13" s="86">
        <v>10</v>
      </c>
      <c r="Y13" s="86">
        <v>10</v>
      </c>
      <c r="Z13" s="86">
        <v>11</v>
      </c>
      <c r="AA13" s="86">
        <v>15</v>
      </c>
      <c r="AB13" s="86">
        <v>0</v>
      </c>
      <c r="AC13" s="88">
        <v>0</v>
      </c>
      <c r="AD13" s="86">
        <v>35</v>
      </c>
      <c r="AE13" s="86">
        <v>3</v>
      </c>
      <c r="AF13" s="86">
        <v>0</v>
      </c>
      <c r="AG13" s="86">
        <v>0</v>
      </c>
      <c r="AH13" s="86">
        <v>0</v>
      </c>
      <c r="AI13" s="86">
        <v>0</v>
      </c>
      <c r="AJ13" s="86">
        <v>0</v>
      </c>
    </row>
    <row r="14" spans="1:36" s="72" customFormat="1" ht="16.5">
      <c r="A14" s="84">
        <v>5</v>
      </c>
      <c r="B14" s="85" t="s">
        <v>110</v>
      </c>
      <c r="C14" s="86">
        <v>5</v>
      </c>
      <c r="D14" s="86">
        <v>10</v>
      </c>
      <c r="E14" s="86">
        <v>6</v>
      </c>
      <c r="F14" s="86">
        <v>1</v>
      </c>
      <c r="G14" s="86">
        <v>10</v>
      </c>
      <c r="H14" s="86">
        <v>3</v>
      </c>
      <c r="I14" s="86">
        <v>2</v>
      </c>
      <c r="J14" s="86">
        <v>0</v>
      </c>
      <c r="K14" s="86">
        <v>2</v>
      </c>
      <c r="L14" s="86">
        <v>3</v>
      </c>
      <c r="M14" s="86">
        <v>0</v>
      </c>
      <c r="N14" s="86">
        <v>5</v>
      </c>
      <c r="O14" s="86">
        <v>7</v>
      </c>
      <c r="P14" s="86">
        <v>2</v>
      </c>
      <c r="Q14" s="87">
        <f t="shared" si="0"/>
        <v>56</v>
      </c>
      <c r="R14" s="86">
        <v>11</v>
      </c>
      <c r="S14" s="86">
        <v>36</v>
      </c>
      <c r="T14" s="86">
        <v>0</v>
      </c>
      <c r="U14" s="86">
        <v>9</v>
      </c>
      <c r="V14" s="86">
        <v>56</v>
      </c>
      <c r="W14" s="86">
        <v>0</v>
      </c>
      <c r="X14" s="86">
        <v>44</v>
      </c>
      <c r="Y14" s="86">
        <v>44</v>
      </c>
      <c r="Z14" s="86">
        <v>16</v>
      </c>
      <c r="AA14" s="86">
        <v>11</v>
      </c>
      <c r="AB14" s="86">
        <v>0</v>
      </c>
      <c r="AC14" s="88">
        <v>0</v>
      </c>
      <c r="AD14" s="86">
        <v>52</v>
      </c>
      <c r="AE14" s="86">
        <v>4</v>
      </c>
      <c r="AF14" s="86">
        <v>0</v>
      </c>
      <c r="AG14" s="86">
        <v>0</v>
      </c>
      <c r="AH14" s="86">
        <v>0</v>
      </c>
      <c r="AI14" s="86">
        <v>0</v>
      </c>
      <c r="AJ14" s="86">
        <v>0</v>
      </c>
    </row>
    <row r="15" spans="1:36" s="72" customFormat="1" ht="16.5">
      <c r="A15" s="84">
        <v>6</v>
      </c>
      <c r="B15" s="85" t="s">
        <v>111</v>
      </c>
      <c r="C15" s="86">
        <v>0</v>
      </c>
      <c r="D15" s="86">
        <v>0</v>
      </c>
      <c r="E15" s="86">
        <v>2</v>
      </c>
      <c r="F15" s="86">
        <v>0</v>
      </c>
      <c r="G15" s="86">
        <v>2</v>
      </c>
      <c r="H15" s="86">
        <v>2</v>
      </c>
      <c r="I15" s="86">
        <v>0</v>
      </c>
      <c r="J15" s="86">
        <v>0</v>
      </c>
      <c r="K15" s="86">
        <v>1</v>
      </c>
      <c r="L15" s="86">
        <v>1</v>
      </c>
      <c r="M15" s="86">
        <v>0</v>
      </c>
      <c r="N15" s="86">
        <v>1</v>
      </c>
      <c r="O15" s="86">
        <v>1</v>
      </c>
      <c r="P15" s="86">
        <v>1</v>
      </c>
      <c r="Q15" s="87">
        <f t="shared" si="0"/>
        <v>11</v>
      </c>
      <c r="R15" s="86">
        <v>1</v>
      </c>
      <c r="S15" s="86">
        <v>10</v>
      </c>
      <c r="T15" s="86">
        <v>0</v>
      </c>
      <c r="U15" s="86">
        <v>0</v>
      </c>
      <c r="V15" s="86">
        <v>11</v>
      </c>
      <c r="W15" s="86">
        <v>0</v>
      </c>
      <c r="X15" s="86">
        <v>9</v>
      </c>
      <c r="Y15" s="86">
        <v>9</v>
      </c>
      <c r="Z15" s="86">
        <v>8</v>
      </c>
      <c r="AA15" s="86">
        <v>1</v>
      </c>
      <c r="AB15" s="86">
        <v>0</v>
      </c>
      <c r="AC15" s="88">
        <v>0</v>
      </c>
      <c r="AD15" s="86">
        <v>10</v>
      </c>
      <c r="AE15" s="86">
        <v>1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s="72" customFormat="1" ht="16.5">
      <c r="A16" s="84">
        <v>7</v>
      </c>
      <c r="B16" s="85" t="s">
        <v>112</v>
      </c>
      <c r="C16" s="86">
        <v>6</v>
      </c>
      <c r="D16" s="86">
        <v>7</v>
      </c>
      <c r="E16" s="86">
        <v>6</v>
      </c>
      <c r="F16" s="86">
        <v>2</v>
      </c>
      <c r="G16" s="86">
        <v>12</v>
      </c>
      <c r="H16" s="86">
        <v>1</v>
      </c>
      <c r="I16" s="86">
        <v>3</v>
      </c>
      <c r="J16" s="86">
        <v>7</v>
      </c>
      <c r="K16" s="86">
        <v>0</v>
      </c>
      <c r="L16" s="86">
        <v>2</v>
      </c>
      <c r="M16" s="86">
        <v>2</v>
      </c>
      <c r="N16" s="86">
        <v>6</v>
      </c>
      <c r="O16" s="86">
        <v>1</v>
      </c>
      <c r="P16" s="86">
        <v>4</v>
      </c>
      <c r="Q16" s="87">
        <v>59</v>
      </c>
      <c r="R16" s="86">
        <v>0</v>
      </c>
      <c r="S16" s="86">
        <v>3</v>
      </c>
      <c r="T16" s="86">
        <v>55</v>
      </c>
      <c r="U16" s="86">
        <v>59</v>
      </c>
      <c r="V16" s="86">
        <v>59</v>
      </c>
      <c r="W16" s="86">
        <v>0</v>
      </c>
      <c r="X16" s="86">
        <v>45</v>
      </c>
      <c r="Y16" s="86">
        <v>45</v>
      </c>
      <c r="Z16" s="86">
        <v>38</v>
      </c>
      <c r="AA16" s="86">
        <v>30</v>
      </c>
      <c r="AB16" s="86">
        <v>0</v>
      </c>
      <c r="AC16" s="88">
        <v>0</v>
      </c>
      <c r="AD16" s="86">
        <v>58</v>
      </c>
      <c r="AE16" s="86">
        <v>0</v>
      </c>
      <c r="AF16" s="86">
        <v>0</v>
      </c>
      <c r="AG16" s="86">
        <v>1</v>
      </c>
      <c r="AH16" s="86">
        <v>0</v>
      </c>
      <c r="AI16" s="86">
        <v>0</v>
      </c>
      <c r="AJ16" s="86">
        <v>0</v>
      </c>
    </row>
    <row r="17" spans="1:36" s="72" customFormat="1" ht="16.5">
      <c r="A17" s="84">
        <v>8</v>
      </c>
      <c r="B17" s="85" t="s">
        <v>113</v>
      </c>
      <c r="C17" s="86">
        <v>0</v>
      </c>
      <c r="D17" s="86">
        <v>1</v>
      </c>
      <c r="E17" s="86">
        <v>3</v>
      </c>
      <c r="F17" s="86">
        <v>3</v>
      </c>
      <c r="G17" s="86">
        <v>1</v>
      </c>
      <c r="H17" s="86">
        <v>1</v>
      </c>
      <c r="I17" s="86">
        <v>4</v>
      </c>
      <c r="J17" s="86">
        <v>0</v>
      </c>
      <c r="K17" s="86">
        <v>0</v>
      </c>
      <c r="L17" s="86">
        <v>1</v>
      </c>
      <c r="M17" s="86">
        <v>0</v>
      </c>
      <c r="N17" s="86">
        <v>0</v>
      </c>
      <c r="O17" s="86">
        <v>3</v>
      </c>
      <c r="P17" s="86">
        <v>3</v>
      </c>
      <c r="Q17" s="87">
        <f t="shared" ref="Q17:Q23" si="1">SUM(C17:P17)</f>
        <v>20</v>
      </c>
      <c r="R17" s="86">
        <v>20</v>
      </c>
      <c r="S17" s="86">
        <v>0</v>
      </c>
      <c r="T17" s="86">
        <v>0</v>
      </c>
      <c r="U17" s="86">
        <v>0</v>
      </c>
      <c r="V17" s="86">
        <v>20</v>
      </c>
      <c r="W17" s="86">
        <v>0</v>
      </c>
      <c r="X17" s="86">
        <v>13</v>
      </c>
      <c r="Y17" s="86">
        <v>13</v>
      </c>
      <c r="Z17" s="86">
        <v>10</v>
      </c>
      <c r="AA17" s="86">
        <v>1</v>
      </c>
      <c r="AB17" s="86">
        <v>0</v>
      </c>
      <c r="AC17" s="88">
        <v>0</v>
      </c>
      <c r="AD17" s="86">
        <v>20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6">
        <v>0</v>
      </c>
    </row>
    <row r="18" spans="1:36" s="72" customFormat="1" ht="16.5">
      <c r="A18" s="84">
        <v>9</v>
      </c>
      <c r="B18" s="85" t="s">
        <v>114</v>
      </c>
      <c r="C18" s="86">
        <v>2</v>
      </c>
      <c r="D18" s="86">
        <v>3</v>
      </c>
      <c r="E18" s="86">
        <v>1</v>
      </c>
      <c r="F18" s="86">
        <v>1</v>
      </c>
      <c r="G18" s="86">
        <v>7</v>
      </c>
      <c r="H18" s="86">
        <v>1</v>
      </c>
      <c r="I18" s="86">
        <v>1</v>
      </c>
      <c r="J18" s="86">
        <v>1</v>
      </c>
      <c r="K18" s="86">
        <v>0</v>
      </c>
      <c r="L18" s="86">
        <v>2</v>
      </c>
      <c r="M18" s="86">
        <v>1</v>
      </c>
      <c r="N18" s="86">
        <v>3</v>
      </c>
      <c r="O18" s="86">
        <v>1</v>
      </c>
      <c r="P18" s="86">
        <v>3</v>
      </c>
      <c r="Q18" s="87">
        <f t="shared" si="1"/>
        <v>27</v>
      </c>
      <c r="R18" s="86">
        <v>0</v>
      </c>
      <c r="S18" s="86">
        <v>0</v>
      </c>
      <c r="T18" s="86">
        <v>1</v>
      </c>
      <c r="U18" s="86">
        <v>26</v>
      </c>
      <c r="V18" s="86">
        <v>27</v>
      </c>
      <c r="W18" s="86">
        <v>0</v>
      </c>
      <c r="X18" s="86">
        <v>9</v>
      </c>
      <c r="Y18" s="86">
        <v>9</v>
      </c>
      <c r="Z18" s="86">
        <v>5</v>
      </c>
      <c r="AA18" s="86">
        <v>4</v>
      </c>
      <c r="AB18" s="86">
        <v>0</v>
      </c>
      <c r="AC18" s="88">
        <v>0</v>
      </c>
      <c r="AD18" s="86">
        <v>25</v>
      </c>
      <c r="AE18" s="86">
        <v>2</v>
      </c>
      <c r="AF18" s="86">
        <v>0</v>
      </c>
      <c r="AG18" s="86">
        <v>0</v>
      </c>
      <c r="AH18" s="86">
        <v>4</v>
      </c>
      <c r="AI18" s="86">
        <v>3</v>
      </c>
      <c r="AJ18" s="86">
        <v>0</v>
      </c>
    </row>
    <row r="19" spans="1:36" s="72" customFormat="1" ht="16.5">
      <c r="A19" s="84">
        <v>10</v>
      </c>
      <c r="B19" s="85" t="s">
        <v>115</v>
      </c>
      <c r="C19" s="86">
        <v>0</v>
      </c>
      <c r="D19" s="86">
        <v>0</v>
      </c>
      <c r="E19" s="86">
        <v>0</v>
      </c>
      <c r="F19" s="86">
        <v>0</v>
      </c>
      <c r="G19" s="86">
        <v>0</v>
      </c>
      <c r="H19" s="86">
        <v>1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7">
        <f t="shared" si="1"/>
        <v>1</v>
      </c>
      <c r="R19" s="86">
        <v>0</v>
      </c>
      <c r="S19" s="86">
        <v>0</v>
      </c>
      <c r="T19" s="86">
        <v>0</v>
      </c>
      <c r="U19" s="86">
        <v>1</v>
      </c>
      <c r="V19" s="86">
        <v>1</v>
      </c>
      <c r="W19" s="86">
        <v>0</v>
      </c>
      <c r="X19" s="86">
        <v>1</v>
      </c>
      <c r="Y19" s="86">
        <v>1</v>
      </c>
      <c r="Z19" s="86">
        <v>2</v>
      </c>
      <c r="AA19" s="86">
        <v>5</v>
      </c>
      <c r="AB19" s="86">
        <v>0</v>
      </c>
      <c r="AC19" s="88">
        <v>0</v>
      </c>
      <c r="AD19" s="86">
        <v>0</v>
      </c>
      <c r="AE19" s="86">
        <v>1</v>
      </c>
      <c r="AF19" s="86">
        <v>0</v>
      </c>
      <c r="AG19" s="86">
        <v>0</v>
      </c>
      <c r="AH19" s="86">
        <v>0</v>
      </c>
      <c r="AI19" s="86">
        <v>0</v>
      </c>
      <c r="AJ19" s="86">
        <v>0</v>
      </c>
    </row>
    <row r="20" spans="1:36" s="72" customFormat="1" ht="16.5">
      <c r="A20" s="84">
        <v>11</v>
      </c>
      <c r="B20" s="85" t="s">
        <v>116</v>
      </c>
      <c r="C20" s="86">
        <v>2</v>
      </c>
      <c r="D20" s="86">
        <v>2</v>
      </c>
      <c r="E20" s="86">
        <v>0</v>
      </c>
      <c r="F20" s="86">
        <v>1</v>
      </c>
      <c r="G20" s="86">
        <v>3</v>
      </c>
      <c r="H20" s="86">
        <v>2</v>
      </c>
      <c r="I20" s="86">
        <v>1</v>
      </c>
      <c r="J20" s="86">
        <v>0</v>
      </c>
      <c r="K20" s="86">
        <v>0</v>
      </c>
      <c r="L20" s="86">
        <v>0</v>
      </c>
      <c r="M20" s="86">
        <v>0</v>
      </c>
      <c r="N20" s="86">
        <v>5</v>
      </c>
      <c r="O20" s="86">
        <v>2</v>
      </c>
      <c r="P20" s="86">
        <v>0</v>
      </c>
      <c r="Q20" s="87">
        <f t="shared" si="1"/>
        <v>18</v>
      </c>
      <c r="R20" s="86">
        <v>18</v>
      </c>
      <c r="S20" s="86">
        <v>0</v>
      </c>
      <c r="T20" s="86">
        <v>0</v>
      </c>
      <c r="U20" s="86">
        <v>0</v>
      </c>
      <c r="V20" s="86">
        <v>16</v>
      </c>
      <c r="W20" s="86">
        <v>0</v>
      </c>
      <c r="X20" s="86">
        <v>13</v>
      </c>
      <c r="Y20" s="86">
        <v>13</v>
      </c>
      <c r="Z20" s="86">
        <v>8</v>
      </c>
      <c r="AA20" s="86">
        <v>7</v>
      </c>
      <c r="AB20" s="86">
        <v>0</v>
      </c>
      <c r="AC20" s="88">
        <v>0</v>
      </c>
      <c r="AD20" s="86">
        <v>15</v>
      </c>
      <c r="AE20" s="86">
        <v>3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 s="72" customFormat="1" ht="16.5">
      <c r="A21" s="84">
        <v>12</v>
      </c>
      <c r="B21" s="85" t="s">
        <v>117</v>
      </c>
      <c r="C21" s="86">
        <v>3</v>
      </c>
      <c r="D21" s="86">
        <v>1</v>
      </c>
      <c r="E21" s="86">
        <v>0</v>
      </c>
      <c r="F21" s="86">
        <v>0</v>
      </c>
      <c r="G21" s="86">
        <v>5</v>
      </c>
      <c r="H21" s="86">
        <v>1</v>
      </c>
      <c r="I21" s="86">
        <v>1</v>
      </c>
      <c r="J21" s="86">
        <v>0</v>
      </c>
      <c r="K21" s="86">
        <v>2</v>
      </c>
      <c r="L21" s="86">
        <v>2</v>
      </c>
      <c r="M21" s="86">
        <v>0</v>
      </c>
      <c r="N21" s="86">
        <v>2</v>
      </c>
      <c r="O21" s="86">
        <v>2</v>
      </c>
      <c r="P21" s="86">
        <v>0</v>
      </c>
      <c r="Q21" s="87">
        <f t="shared" si="1"/>
        <v>19</v>
      </c>
      <c r="R21" s="86">
        <v>0</v>
      </c>
      <c r="S21" s="86">
        <v>0</v>
      </c>
      <c r="T21" s="86">
        <v>1</v>
      </c>
      <c r="U21" s="86">
        <v>17</v>
      </c>
      <c r="V21" s="86">
        <v>19</v>
      </c>
      <c r="W21" s="86">
        <v>0</v>
      </c>
      <c r="X21" s="86">
        <v>14</v>
      </c>
      <c r="Y21" s="86">
        <v>14</v>
      </c>
      <c r="Z21" s="86">
        <v>14</v>
      </c>
      <c r="AA21" s="86">
        <v>14</v>
      </c>
      <c r="AB21" s="86">
        <v>0</v>
      </c>
      <c r="AC21" s="88">
        <v>0</v>
      </c>
      <c r="AD21" s="86">
        <v>19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 s="72" customFormat="1" ht="16.5">
      <c r="A22" s="84">
        <v>13</v>
      </c>
      <c r="B22" s="85" t="s">
        <v>118</v>
      </c>
      <c r="C22" s="86">
        <v>0</v>
      </c>
      <c r="D22" s="86">
        <v>0</v>
      </c>
      <c r="E22" s="86">
        <v>1</v>
      </c>
      <c r="F22" s="86">
        <v>1</v>
      </c>
      <c r="G22" s="86">
        <v>0</v>
      </c>
      <c r="H22" s="86">
        <v>0</v>
      </c>
      <c r="I22" s="86">
        <v>1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6">
        <v>0</v>
      </c>
      <c r="P22" s="86">
        <v>0</v>
      </c>
      <c r="Q22" s="87">
        <f t="shared" si="1"/>
        <v>3</v>
      </c>
      <c r="R22" s="86">
        <v>3</v>
      </c>
      <c r="S22" s="86">
        <v>0</v>
      </c>
      <c r="T22" s="86">
        <v>0</v>
      </c>
      <c r="U22" s="86">
        <v>3</v>
      </c>
      <c r="V22" s="86">
        <v>3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86">
        <v>1</v>
      </c>
      <c r="AC22" s="88">
        <v>0</v>
      </c>
      <c r="AD22" s="86">
        <v>3</v>
      </c>
      <c r="AE22" s="86">
        <v>0</v>
      </c>
      <c r="AF22" s="86">
        <v>0</v>
      </c>
      <c r="AG22" s="86">
        <v>0</v>
      </c>
      <c r="AH22" s="86">
        <v>3</v>
      </c>
      <c r="AI22" s="86">
        <v>0</v>
      </c>
      <c r="AJ22" s="86">
        <v>0</v>
      </c>
    </row>
    <row r="23" spans="1:36" s="72" customFormat="1" ht="16.5">
      <c r="A23" s="91" t="s">
        <v>31</v>
      </c>
      <c r="B23" s="92"/>
      <c r="C23" s="89">
        <f>SUM(C10:C22)</f>
        <v>24</v>
      </c>
      <c r="D23" s="89">
        <f t="shared" ref="D23:M23" si="2">SUM(D10:D22)</f>
        <v>32</v>
      </c>
      <c r="E23" s="89">
        <f t="shared" si="2"/>
        <v>22</v>
      </c>
      <c r="F23" s="89">
        <f t="shared" si="2"/>
        <v>15</v>
      </c>
      <c r="G23" s="89">
        <f t="shared" si="2"/>
        <v>56</v>
      </c>
      <c r="H23" s="89">
        <f t="shared" si="2"/>
        <v>22</v>
      </c>
      <c r="I23" s="89">
        <f t="shared" si="2"/>
        <v>20</v>
      </c>
      <c r="J23" s="89">
        <f t="shared" si="2"/>
        <v>11</v>
      </c>
      <c r="K23" s="89">
        <f t="shared" si="2"/>
        <v>10</v>
      </c>
      <c r="L23" s="89">
        <f t="shared" si="2"/>
        <v>17</v>
      </c>
      <c r="M23" s="89">
        <f t="shared" si="2"/>
        <v>3</v>
      </c>
      <c r="N23" s="89">
        <f>SUM(N10:N22)</f>
        <v>38</v>
      </c>
      <c r="O23" s="89">
        <f t="shared" ref="O23:P23" si="3">SUM(O10:O22)</f>
        <v>24</v>
      </c>
      <c r="P23" s="89">
        <f t="shared" si="3"/>
        <v>21</v>
      </c>
      <c r="Q23" s="87">
        <f t="shared" si="1"/>
        <v>315</v>
      </c>
      <c r="R23" s="89">
        <f t="shared" ref="R23:AB23" si="4">SUM(R10:R22)</f>
        <v>68</v>
      </c>
      <c r="S23" s="89">
        <f t="shared" si="4"/>
        <v>52</v>
      </c>
      <c r="T23" s="89">
        <f t="shared" si="4"/>
        <v>60</v>
      </c>
      <c r="U23" s="89">
        <f t="shared" si="4"/>
        <v>195</v>
      </c>
      <c r="V23" s="89">
        <f t="shared" si="4"/>
        <v>313</v>
      </c>
      <c r="W23" s="89">
        <f t="shared" si="4"/>
        <v>0</v>
      </c>
      <c r="X23" s="89">
        <f t="shared" si="4"/>
        <v>202</v>
      </c>
      <c r="Y23" s="89">
        <f t="shared" si="4"/>
        <v>202</v>
      </c>
      <c r="Z23" s="89">
        <f t="shared" si="4"/>
        <v>169</v>
      </c>
      <c r="AA23" s="89">
        <f t="shared" si="4"/>
        <v>135</v>
      </c>
      <c r="AB23" s="89">
        <f t="shared" si="4"/>
        <v>1</v>
      </c>
      <c r="AC23" s="90">
        <v>0</v>
      </c>
      <c r="AD23" s="89">
        <f t="shared" ref="AD23:AJ23" si="5">SUM(AD10:AD22)</f>
        <v>294</v>
      </c>
      <c r="AE23" s="89">
        <f t="shared" si="5"/>
        <v>20</v>
      </c>
      <c r="AF23" s="89">
        <f t="shared" si="5"/>
        <v>0</v>
      </c>
      <c r="AG23" s="89">
        <f t="shared" si="5"/>
        <v>1</v>
      </c>
      <c r="AH23" s="89">
        <f t="shared" si="5"/>
        <v>7</v>
      </c>
      <c r="AI23" s="89">
        <f t="shared" si="5"/>
        <v>3</v>
      </c>
      <c r="AJ23" s="89">
        <f t="shared" si="5"/>
        <v>0</v>
      </c>
    </row>
    <row r="24" spans="1:36" s="72" customFormat="1" ht="16.5"/>
    <row r="25" spans="1:36" s="72" customFormat="1" ht="16.5"/>
  </sheetData>
  <pageMargins left="0.7" right="0.7" top="0.75" bottom="0.75" header="0.3" footer="0.3"/>
  <pageSetup scale="6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555B-0824-444D-B756-7F9DC58DC17E}">
  <dimension ref="A1:AJ25"/>
  <sheetViews>
    <sheetView topLeftCell="A6" workbookViewId="0">
      <selection activeCell="Y13" sqref="Y13"/>
    </sheetView>
  </sheetViews>
  <sheetFormatPr defaultRowHeight="15"/>
  <cols>
    <col min="1" max="1" width="5.42578125" customWidth="1"/>
    <col min="2" max="2" width="15" customWidth="1"/>
    <col min="3" max="3" width="6" customWidth="1"/>
    <col min="4" max="4" width="6.7109375" customWidth="1"/>
    <col min="5" max="6" width="7.5703125" customWidth="1"/>
    <col min="7" max="7" width="7" customWidth="1"/>
    <col min="8" max="8" width="7.28515625" customWidth="1"/>
    <col min="9" max="9" width="6.140625" customWidth="1"/>
    <col min="10" max="10" width="6.28515625" customWidth="1"/>
    <col min="11" max="11" width="6.7109375" customWidth="1"/>
    <col min="12" max="12" width="6.140625" customWidth="1"/>
    <col min="13" max="14" width="6.5703125" customWidth="1"/>
    <col min="15" max="15" width="7.28515625" customWidth="1"/>
    <col min="16" max="16" width="6.7109375" customWidth="1"/>
    <col min="18" max="18" width="9" customWidth="1"/>
    <col min="20" max="21" width="7.28515625" customWidth="1"/>
    <col min="22" max="22" width="7.140625" customWidth="1"/>
    <col min="23" max="23" width="6.85546875" customWidth="1"/>
    <col min="24" max="24" width="7.42578125" customWidth="1"/>
    <col min="28" max="28" width="7" customWidth="1"/>
    <col min="29" max="29" width="7.7109375" customWidth="1"/>
    <col min="30" max="30" width="8.28515625" customWidth="1"/>
    <col min="33" max="33" width="7.28515625" customWidth="1"/>
  </cols>
  <sheetData>
    <row r="1" spans="1:36" s="72" customFormat="1" ht="16.5"/>
    <row r="2" spans="1:36" s="72" customFormat="1" ht="20.25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1:36" s="72" customFormat="1" ht="16.5"/>
    <row r="4" spans="1:36" s="72" customFormat="1" ht="16.5">
      <c r="A4" s="140" t="s">
        <v>38</v>
      </c>
      <c r="B4" s="140"/>
      <c r="C4" s="72" t="s">
        <v>40</v>
      </c>
      <c r="D4" s="72" t="s">
        <v>104</v>
      </c>
    </row>
    <row r="5" spans="1:36" s="72" customFormat="1" ht="16.5">
      <c r="A5" s="140" t="s">
        <v>1</v>
      </c>
      <c r="B5" s="140"/>
      <c r="C5" s="72" t="s">
        <v>122</v>
      </c>
    </row>
    <row r="6" spans="1:36" s="72" customFormat="1" ht="16.5">
      <c r="A6" s="73" t="s">
        <v>2</v>
      </c>
      <c r="B6" s="73"/>
      <c r="D6" s="74">
        <v>2025</v>
      </c>
    </row>
    <row r="7" spans="1:36" s="72" customFormat="1" ht="16.5">
      <c r="A7" s="126" t="s">
        <v>3</v>
      </c>
      <c r="B7" s="126" t="s">
        <v>106</v>
      </c>
      <c r="C7" s="136" t="s">
        <v>4</v>
      </c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8"/>
      <c r="Q7" s="142" t="s">
        <v>5</v>
      </c>
      <c r="R7" s="129" t="s">
        <v>32</v>
      </c>
      <c r="S7" s="130"/>
      <c r="T7" s="130"/>
      <c r="U7" s="131"/>
      <c r="V7" s="136" t="s">
        <v>6</v>
      </c>
      <c r="W7" s="137"/>
      <c r="X7" s="137"/>
      <c r="Y7" s="137"/>
      <c r="Z7" s="137"/>
      <c r="AA7" s="138"/>
      <c r="AB7" s="126" t="s">
        <v>7</v>
      </c>
      <c r="AC7" s="141" t="s">
        <v>8</v>
      </c>
      <c r="AD7" s="136" t="s">
        <v>9</v>
      </c>
      <c r="AE7" s="137"/>
      <c r="AF7" s="137"/>
      <c r="AG7" s="138"/>
      <c r="AH7" s="142" t="s">
        <v>10</v>
      </c>
      <c r="AI7" s="142" t="s">
        <v>11</v>
      </c>
      <c r="AJ7" s="145" t="s">
        <v>12</v>
      </c>
    </row>
    <row r="8" spans="1:36" s="72" customFormat="1" ht="16.5">
      <c r="A8" s="127"/>
      <c r="B8" s="127"/>
      <c r="C8" s="136" t="s">
        <v>13</v>
      </c>
      <c r="D8" s="137"/>
      <c r="E8" s="137"/>
      <c r="F8" s="137"/>
      <c r="G8" s="137"/>
      <c r="H8" s="137"/>
      <c r="I8" s="138"/>
      <c r="J8" s="136" t="s">
        <v>14</v>
      </c>
      <c r="K8" s="137"/>
      <c r="L8" s="137"/>
      <c r="M8" s="137"/>
      <c r="N8" s="137"/>
      <c r="O8" s="137"/>
      <c r="P8" s="138"/>
      <c r="Q8" s="144"/>
      <c r="R8" s="132" t="s">
        <v>35</v>
      </c>
      <c r="S8" s="132" t="s">
        <v>36</v>
      </c>
      <c r="T8" s="134" t="s">
        <v>37</v>
      </c>
      <c r="U8" s="135"/>
      <c r="V8" s="146" t="s">
        <v>15</v>
      </c>
      <c r="W8" s="147"/>
      <c r="X8" s="145" t="s">
        <v>16</v>
      </c>
      <c r="Y8" s="145"/>
      <c r="Z8" s="75" t="s">
        <v>17</v>
      </c>
      <c r="AA8" s="75" t="s">
        <v>18</v>
      </c>
      <c r="AB8" s="127"/>
      <c r="AC8" s="141"/>
      <c r="AD8" s="126" t="s">
        <v>19</v>
      </c>
      <c r="AE8" s="126" t="s">
        <v>20</v>
      </c>
      <c r="AF8" s="126" t="s">
        <v>21</v>
      </c>
      <c r="AG8" s="142" t="s">
        <v>22</v>
      </c>
      <c r="AH8" s="144"/>
      <c r="AI8" s="144"/>
      <c r="AJ8" s="145"/>
    </row>
    <row r="9" spans="1:36" s="72" customFormat="1" ht="22.5">
      <c r="A9" s="128"/>
      <c r="B9" s="128"/>
      <c r="C9" s="75" t="s">
        <v>23</v>
      </c>
      <c r="D9" s="76" t="s">
        <v>24</v>
      </c>
      <c r="E9" s="77" t="s">
        <v>25</v>
      </c>
      <c r="F9" s="78" t="s">
        <v>26</v>
      </c>
      <c r="G9" s="78" t="s">
        <v>27</v>
      </c>
      <c r="H9" s="78" t="s">
        <v>28</v>
      </c>
      <c r="I9" s="75" t="s">
        <v>29</v>
      </c>
      <c r="J9" s="75" t="s">
        <v>23</v>
      </c>
      <c r="K9" s="76" t="s">
        <v>24</v>
      </c>
      <c r="L9" s="77" t="s">
        <v>25</v>
      </c>
      <c r="M9" s="78" t="s">
        <v>26</v>
      </c>
      <c r="N9" s="78" t="s">
        <v>27</v>
      </c>
      <c r="O9" s="78" t="s">
        <v>28</v>
      </c>
      <c r="P9" s="75" t="s">
        <v>29</v>
      </c>
      <c r="Q9" s="143"/>
      <c r="R9" s="133"/>
      <c r="S9" s="133"/>
      <c r="T9" s="79" t="s">
        <v>33</v>
      </c>
      <c r="U9" s="79" t="s">
        <v>34</v>
      </c>
      <c r="V9" s="80" t="s">
        <v>42</v>
      </c>
      <c r="W9" s="80" t="s">
        <v>41</v>
      </c>
      <c r="X9" s="75" t="s">
        <v>30</v>
      </c>
      <c r="Y9" s="75" t="s">
        <v>30</v>
      </c>
      <c r="Z9" s="75" t="s">
        <v>30</v>
      </c>
      <c r="AA9" s="75" t="s">
        <v>30</v>
      </c>
      <c r="AB9" s="128"/>
      <c r="AC9" s="141"/>
      <c r="AD9" s="128"/>
      <c r="AE9" s="128"/>
      <c r="AF9" s="128"/>
      <c r="AG9" s="143"/>
      <c r="AH9" s="143"/>
      <c r="AI9" s="143"/>
      <c r="AJ9" s="145"/>
    </row>
    <row r="10" spans="1:36" s="72" customFormat="1" ht="16.5">
      <c r="A10" s="82">
        <v>1</v>
      </c>
      <c r="B10" s="82">
        <v>2</v>
      </c>
      <c r="C10" s="83">
        <v>3</v>
      </c>
      <c r="D10" s="82">
        <v>4</v>
      </c>
      <c r="E10" s="82">
        <v>5</v>
      </c>
      <c r="F10" s="83">
        <v>6</v>
      </c>
      <c r="G10" s="82">
        <v>7</v>
      </c>
      <c r="H10" s="82">
        <v>8</v>
      </c>
      <c r="I10" s="83">
        <v>9</v>
      </c>
      <c r="J10" s="82">
        <v>10</v>
      </c>
      <c r="K10" s="82">
        <v>11</v>
      </c>
      <c r="L10" s="83">
        <v>12</v>
      </c>
      <c r="M10" s="82">
        <v>13</v>
      </c>
      <c r="N10" s="82">
        <v>14</v>
      </c>
      <c r="O10" s="83">
        <v>15</v>
      </c>
      <c r="P10" s="82">
        <v>16</v>
      </c>
      <c r="Q10" s="82">
        <v>17</v>
      </c>
      <c r="R10" s="83">
        <v>18</v>
      </c>
      <c r="S10" s="82">
        <v>19</v>
      </c>
      <c r="T10" s="82">
        <v>20</v>
      </c>
      <c r="U10" s="83">
        <v>21</v>
      </c>
      <c r="V10" s="82">
        <v>22</v>
      </c>
      <c r="W10" s="82">
        <v>23</v>
      </c>
      <c r="X10" s="83">
        <v>24</v>
      </c>
      <c r="Y10" s="82">
        <v>25</v>
      </c>
      <c r="Z10" s="82">
        <v>26</v>
      </c>
      <c r="AA10" s="83">
        <v>27</v>
      </c>
      <c r="AB10" s="82">
        <v>28</v>
      </c>
      <c r="AC10" s="82">
        <v>29</v>
      </c>
      <c r="AD10" s="83">
        <v>30</v>
      </c>
      <c r="AE10" s="82">
        <v>31</v>
      </c>
      <c r="AF10" s="82">
        <v>32</v>
      </c>
      <c r="AG10" s="83">
        <v>33</v>
      </c>
      <c r="AH10" s="82">
        <v>34</v>
      </c>
      <c r="AI10" s="82">
        <v>35</v>
      </c>
      <c r="AJ10" s="82">
        <v>36</v>
      </c>
    </row>
    <row r="11" spans="1:36" s="72" customFormat="1" ht="16.5">
      <c r="A11" s="84">
        <v>1</v>
      </c>
      <c r="B11" s="85" t="s">
        <v>107</v>
      </c>
      <c r="C11" s="86">
        <v>3</v>
      </c>
      <c r="D11" s="86">
        <v>1</v>
      </c>
      <c r="E11" s="86">
        <v>1</v>
      </c>
      <c r="F11" s="86">
        <v>0</v>
      </c>
      <c r="G11" s="86">
        <v>1</v>
      </c>
      <c r="H11" s="86">
        <v>3</v>
      </c>
      <c r="I11" s="86">
        <v>2</v>
      </c>
      <c r="J11" s="86">
        <v>1</v>
      </c>
      <c r="K11" s="86">
        <v>0</v>
      </c>
      <c r="L11" s="86">
        <v>1</v>
      </c>
      <c r="M11" s="86">
        <v>3</v>
      </c>
      <c r="N11" s="86">
        <v>10</v>
      </c>
      <c r="O11" s="86">
        <v>4</v>
      </c>
      <c r="P11" s="86">
        <v>3</v>
      </c>
      <c r="Q11" s="87">
        <f>SUM(C11:P11)</f>
        <v>33</v>
      </c>
      <c r="R11" s="86">
        <v>6</v>
      </c>
      <c r="S11" s="86">
        <v>0</v>
      </c>
      <c r="T11" s="86">
        <v>27</v>
      </c>
      <c r="U11" s="86">
        <v>0</v>
      </c>
      <c r="V11" s="86">
        <v>33</v>
      </c>
      <c r="W11" s="86">
        <v>0</v>
      </c>
      <c r="X11" s="86">
        <v>27</v>
      </c>
      <c r="Y11" s="86">
        <v>27</v>
      </c>
      <c r="Z11" s="86">
        <v>29</v>
      </c>
      <c r="AA11" s="86">
        <v>16</v>
      </c>
      <c r="AB11" s="86">
        <v>0</v>
      </c>
      <c r="AC11" s="88">
        <v>0</v>
      </c>
      <c r="AD11" s="86">
        <v>22</v>
      </c>
      <c r="AE11" s="86">
        <v>1</v>
      </c>
      <c r="AF11" s="86">
        <v>0</v>
      </c>
      <c r="AG11" s="86">
        <v>0</v>
      </c>
      <c r="AH11" s="86">
        <v>1</v>
      </c>
      <c r="AI11" s="86">
        <v>0</v>
      </c>
      <c r="AJ11" s="86">
        <v>0</v>
      </c>
    </row>
    <row r="12" spans="1:36" s="72" customFormat="1" ht="16.5">
      <c r="A12" s="84">
        <v>2</v>
      </c>
      <c r="B12" s="85" t="s">
        <v>108</v>
      </c>
      <c r="C12" s="86">
        <v>1</v>
      </c>
      <c r="D12" s="86">
        <v>1</v>
      </c>
      <c r="E12" s="86">
        <v>2</v>
      </c>
      <c r="F12" s="86">
        <v>0</v>
      </c>
      <c r="G12" s="86">
        <v>1</v>
      </c>
      <c r="H12" s="86">
        <v>3</v>
      </c>
      <c r="I12" s="86">
        <v>2</v>
      </c>
      <c r="J12" s="86">
        <v>1</v>
      </c>
      <c r="K12" s="86">
        <v>2</v>
      </c>
      <c r="L12" s="86">
        <v>0</v>
      </c>
      <c r="M12" s="86">
        <v>0</v>
      </c>
      <c r="N12" s="86">
        <v>3</v>
      </c>
      <c r="O12" s="86">
        <v>3</v>
      </c>
      <c r="P12" s="86">
        <v>0</v>
      </c>
      <c r="Q12" s="87">
        <f t="shared" ref="Q12:Q24" si="0">SUM(C12:P12)</f>
        <v>19</v>
      </c>
      <c r="R12" s="86">
        <v>0</v>
      </c>
      <c r="S12" s="86">
        <v>16</v>
      </c>
      <c r="T12" s="86">
        <v>0</v>
      </c>
      <c r="U12" s="86">
        <v>3</v>
      </c>
      <c r="V12" s="86">
        <v>19</v>
      </c>
      <c r="W12" s="86">
        <v>0</v>
      </c>
      <c r="X12" s="86">
        <v>14</v>
      </c>
      <c r="Y12" s="86">
        <v>14</v>
      </c>
      <c r="Z12" s="86">
        <v>14</v>
      </c>
      <c r="AA12" s="86">
        <v>5</v>
      </c>
      <c r="AB12" s="86">
        <v>0</v>
      </c>
      <c r="AC12" s="88">
        <v>0</v>
      </c>
      <c r="AD12" s="86">
        <v>17</v>
      </c>
      <c r="AE12" s="86">
        <v>2</v>
      </c>
      <c r="AF12" s="86">
        <v>0</v>
      </c>
      <c r="AG12" s="86">
        <v>0</v>
      </c>
      <c r="AH12" s="86">
        <v>3</v>
      </c>
      <c r="AI12" s="86">
        <v>1</v>
      </c>
      <c r="AJ12" s="86">
        <v>0</v>
      </c>
    </row>
    <row r="13" spans="1:36" s="72" customFormat="1" ht="16.5">
      <c r="A13" s="84">
        <v>3</v>
      </c>
      <c r="B13" s="85" t="s">
        <v>119</v>
      </c>
      <c r="C13" s="86">
        <v>2</v>
      </c>
      <c r="D13" s="86">
        <v>0</v>
      </c>
      <c r="E13" s="86">
        <v>0</v>
      </c>
      <c r="F13" s="86">
        <v>1</v>
      </c>
      <c r="G13" s="86">
        <v>3</v>
      </c>
      <c r="H13" s="86">
        <v>2</v>
      </c>
      <c r="I13" s="86">
        <v>0</v>
      </c>
      <c r="J13" s="86">
        <v>2</v>
      </c>
      <c r="K13" s="86">
        <v>2</v>
      </c>
      <c r="L13" s="86">
        <v>0</v>
      </c>
      <c r="M13" s="86">
        <v>1</v>
      </c>
      <c r="N13" s="86">
        <v>5</v>
      </c>
      <c r="O13" s="86">
        <v>5</v>
      </c>
      <c r="P13" s="86">
        <v>1</v>
      </c>
      <c r="Q13" s="87">
        <f t="shared" si="0"/>
        <v>24</v>
      </c>
      <c r="R13" s="86">
        <v>1</v>
      </c>
      <c r="S13" s="86">
        <v>0</v>
      </c>
      <c r="T13" s="86">
        <v>0</v>
      </c>
      <c r="U13" s="86">
        <v>23</v>
      </c>
      <c r="V13" s="86">
        <v>24</v>
      </c>
      <c r="W13" s="86">
        <v>0</v>
      </c>
      <c r="X13" s="86">
        <v>20</v>
      </c>
      <c r="Y13" s="86">
        <v>20</v>
      </c>
      <c r="Z13" s="86">
        <v>29</v>
      </c>
      <c r="AA13" s="86">
        <v>14</v>
      </c>
      <c r="AB13" s="86">
        <v>0</v>
      </c>
      <c r="AC13" s="88">
        <v>0</v>
      </c>
      <c r="AD13" s="86">
        <v>19</v>
      </c>
      <c r="AE13" s="86">
        <v>5</v>
      </c>
      <c r="AF13" s="86">
        <v>0</v>
      </c>
      <c r="AG13" s="86">
        <v>0</v>
      </c>
      <c r="AH13" s="86">
        <v>0</v>
      </c>
      <c r="AI13" s="86">
        <v>0</v>
      </c>
      <c r="AJ13" s="86">
        <v>0</v>
      </c>
    </row>
    <row r="14" spans="1:36" s="72" customFormat="1" ht="16.5">
      <c r="A14" s="84">
        <v>4</v>
      </c>
      <c r="B14" s="85" t="s">
        <v>109</v>
      </c>
      <c r="C14" s="86">
        <v>1</v>
      </c>
      <c r="D14" s="86">
        <v>6</v>
      </c>
      <c r="E14" s="86">
        <v>3</v>
      </c>
      <c r="F14" s="86">
        <v>2</v>
      </c>
      <c r="G14" s="86">
        <v>3</v>
      </c>
      <c r="H14" s="86">
        <v>7</v>
      </c>
      <c r="I14" s="86">
        <v>0</v>
      </c>
      <c r="J14" s="86">
        <v>0</v>
      </c>
      <c r="K14" s="86">
        <v>4</v>
      </c>
      <c r="L14" s="86">
        <v>2</v>
      </c>
      <c r="M14" s="86">
        <v>3</v>
      </c>
      <c r="N14" s="86">
        <v>7</v>
      </c>
      <c r="O14" s="86">
        <v>2</v>
      </c>
      <c r="P14" s="86">
        <v>4</v>
      </c>
      <c r="Q14" s="87">
        <f t="shared" si="0"/>
        <v>44</v>
      </c>
      <c r="R14" s="86">
        <v>0</v>
      </c>
      <c r="S14" s="86">
        <v>0</v>
      </c>
      <c r="T14" s="86">
        <v>3</v>
      </c>
      <c r="U14" s="86">
        <v>41</v>
      </c>
      <c r="V14" s="86">
        <v>44</v>
      </c>
      <c r="W14" s="86">
        <v>0</v>
      </c>
      <c r="X14" s="86">
        <v>18</v>
      </c>
      <c r="Y14" s="86">
        <v>18</v>
      </c>
      <c r="Z14" s="86">
        <v>16</v>
      </c>
      <c r="AA14" s="86">
        <v>15</v>
      </c>
      <c r="AB14" s="86">
        <v>0</v>
      </c>
      <c r="AC14" s="88">
        <v>0</v>
      </c>
      <c r="AD14" s="86">
        <v>41</v>
      </c>
      <c r="AE14" s="86">
        <v>3</v>
      </c>
      <c r="AF14" s="86">
        <v>0</v>
      </c>
      <c r="AG14" s="86">
        <v>0</v>
      </c>
      <c r="AH14" s="86">
        <v>3</v>
      </c>
      <c r="AI14" s="86">
        <v>0</v>
      </c>
      <c r="AJ14" s="86">
        <v>0</v>
      </c>
    </row>
    <row r="15" spans="1:36" s="72" customFormat="1" ht="16.5">
      <c r="A15" s="84">
        <v>5</v>
      </c>
      <c r="B15" s="85" t="s">
        <v>110</v>
      </c>
      <c r="C15" s="86">
        <v>3</v>
      </c>
      <c r="D15" s="86">
        <v>6</v>
      </c>
      <c r="E15" s="86">
        <v>3</v>
      </c>
      <c r="F15" s="86">
        <v>2</v>
      </c>
      <c r="G15" s="86">
        <v>6</v>
      </c>
      <c r="H15" s="86">
        <v>3</v>
      </c>
      <c r="I15" s="86">
        <v>2</v>
      </c>
      <c r="J15" s="86">
        <v>1</v>
      </c>
      <c r="K15" s="86">
        <v>2</v>
      </c>
      <c r="L15" s="86">
        <v>1</v>
      </c>
      <c r="M15" s="86">
        <v>0</v>
      </c>
      <c r="N15" s="86">
        <v>7</v>
      </c>
      <c r="O15" s="86">
        <v>6</v>
      </c>
      <c r="P15" s="86">
        <v>3</v>
      </c>
      <c r="Q15" s="87">
        <f t="shared" si="0"/>
        <v>45</v>
      </c>
      <c r="R15" s="86">
        <v>12</v>
      </c>
      <c r="S15" s="86">
        <v>28</v>
      </c>
      <c r="T15" s="86">
        <v>0</v>
      </c>
      <c r="U15" s="86">
        <v>5</v>
      </c>
      <c r="V15" s="86">
        <v>45</v>
      </c>
      <c r="W15" s="86">
        <v>0</v>
      </c>
      <c r="X15" s="86">
        <v>39</v>
      </c>
      <c r="Y15" s="86">
        <v>39</v>
      </c>
      <c r="Z15" s="86">
        <v>21</v>
      </c>
      <c r="AA15" s="86">
        <v>13</v>
      </c>
      <c r="AB15" s="86">
        <v>0</v>
      </c>
      <c r="AC15" s="88">
        <v>0</v>
      </c>
      <c r="AD15" s="86">
        <v>38</v>
      </c>
      <c r="AE15" s="86">
        <v>7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s="72" customFormat="1" ht="16.5">
      <c r="A16" s="84">
        <v>6</v>
      </c>
      <c r="B16" s="85" t="s">
        <v>111</v>
      </c>
      <c r="C16" s="86">
        <v>1</v>
      </c>
      <c r="D16" s="86">
        <v>0</v>
      </c>
      <c r="E16" s="86">
        <v>2</v>
      </c>
      <c r="F16" s="86">
        <v>0</v>
      </c>
      <c r="G16" s="86">
        <v>3</v>
      </c>
      <c r="H16" s="86">
        <v>2</v>
      </c>
      <c r="I16" s="86">
        <v>0</v>
      </c>
      <c r="J16" s="86">
        <v>0</v>
      </c>
      <c r="K16" s="86">
        <v>1</v>
      </c>
      <c r="L16" s="86">
        <v>0</v>
      </c>
      <c r="M16" s="86">
        <v>0</v>
      </c>
      <c r="N16" s="86">
        <v>5</v>
      </c>
      <c r="O16" s="86">
        <v>2</v>
      </c>
      <c r="P16" s="86">
        <v>1</v>
      </c>
      <c r="Q16" s="87">
        <f t="shared" si="0"/>
        <v>17</v>
      </c>
      <c r="R16" s="86">
        <v>0</v>
      </c>
      <c r="S16" s="86">
        <v>17</v>
      </c>
      <c r="T16" s="86">
        <v>0</v>
      </c>
      <c r="U16" s="86">
        <v>0</v>
      </c>
      <c r="V16" s="86">
        <v>17</v>
      </c>
      <c r="W16" s="86">
        <v>0</v>
      </c>
      <c r="X16" s="86">
        <v>13</v>
      </c>
      <c r="Y16" s="86">
        <v>13</v>
      </c>
      <c r="Z16" s="86">
        <v>13</v>
      </c>
      <c r="AA16" s="86">
        <v>2</v>
      </c>
      <c r="AB16" s="86">
        <v>0</v>
      </c>
      <c r="AC16" s="88">
        <v>0</v>
      </c>
      <c r="AD16" s="86">
        <v>16</v>
      </c>
      <c r="AE16" s="86">
        <v>1</v>
      </c>
      <c r="AF16" s="86">
        <v>0</v>
      </c>
      <c r="AG16" s="86">
        <v>0</v>
      </c>
      <c r="AH16" s="86">
        <v>0</v>
      </c>
      <c r="AI16" s="86">
        <v>0</v>
      </c>
      <c r="AJ16" s="86">
        <v>0</v>
      </c>
    </row>
    <row r="17" spans="1:36" s="72" customFormat="1" ht="16.5">
      <c r="A17" s="84">
        <v>7</v>
      </c>
      <c r="B17" s="85" t="s">
        <v>112</v>
      </c>
      <c r="C17" s="86">
        <v>5</v>
      </c>
      <c r="D17" s="86">
        <v>10</v>
      </c>
      <c r="E17" s="86">
        <v>9</v>
      </c>
      <c r="F17" s="86">
        <v>4</v>
      </c>
      <c r="G17" s="86">
        <v>12</v>
      </c>
      <c r="H17" s="86">
        <v>3</v>
      </c>
      <c r="I17" s="86">
        <v>3</v>
      </c>
      <c r="J17" s="86">
        <v>5</v>
      </c>
      <c r="K17" s="86">
        <v>7</v>
      </c>
      <c r="L17" s="86">
        <v>3</v>
      </c>
      <c r="M17" s="86">
        <v>0</v>
      </c>
      <c r="N17" s="86">
        <v>15</v>
      </c>
      <c r="O17" s="86">
        <v>5</v>
      </c>
      <c r="P17" s="86">
        <v>1</v>
      </c>
      <c r="Q17" s="87">
        <f t="shared" si="0"/>
        <v>82</v>
      </c>
      <c r="R17" s="86">
        <v>0</v>
      </c>
      <c r="S17" s="86">
        <v>3</v>
      </c>
      <c r="T17" s="86">
        <v>2</v>
      </c>
      <c r="U17" s="86">
        <v>77</v>
      </c>
      <c r="V17" s="86">
        <v>82</v>
      </c>
      <c r="W17" s="86">
        <v>0</v>
      </c>
      <c r="X17" s="86">
        <v>65</v>
      </c>
      <c r="Y17" s="86">
        <v>65</v>
      </c>
      <c r="Z17" s="86">
        <v>54</v>
      </c>
      <c r="AA17" s="86">
        <v>37</v>
      </c>
      <c r="AB17" s="86">
        <v>0</v>
      </c>
      <c r="AC17" s="88">
        <v>0</v>
      </c>
      <c r="AD17" s="86">
        <v>82</v>
      </c>
      <c r="AE17" s="86">
        <v>0</v>
      </c>
      <c r="AF17" s="86">
        <v>0</v>
      </c>
      <c r="AG17" s="86">
        <v>0</v>
      </c>
      <c r="AH17" s="86">
        <v>4</v>
      </c>
      <c r="AI17" s="86">
        <v>1</v>
      </c>
      <c r="AJ17" s="86">
        <v>0</v>
      </c>
    </row>
    <row r="18" spans="1:36" s="72" customFormat="1" ht="16.5">
      <c r="A18" s="84">
        <v>8</v>
      </c>
      <c r="B18" s="85" t="s">
        <v>113</v>
      </c>
      <c r="C18" s="86">
        <v>1</v>
      </c>
      <c r="D18" s="86">
        <v>3</v>
      </c>
      <c r="E18" s="86">
        <v>2</v>
      </c>
      <c r="F18" s="86">
        <v>0</v>
      </c>
      <c r="G18" s="86">
        <v>0</v>
      </c>
      <c r="H18" s="86">
        <v>4</v>
      </c>
      <c r="I18" s="86">
        <v>1</v>
      </c>
      <c r="J18" s="86">
        <v>0</v>
      </c>
      <c r="K18" s="86">
        <v>1</v>
      </c>
      <c r="L18" s="86">
        <v>0</v>
      </c>
      <c r="M18" s="86">
        <v>1</v>
      </c>
      <c r="N18" s="86">
        <v>4</v>
      </c>
      <c r="O18" s="86">
        <v>1</v>
      </c>
      <c r="P18" s="86">
        <v>0</v>
      </c>
      <c r="Q18" s="87">
        <f t="shared" si="0"/>
        <v>18</v>
      </c>
      <c r="R18" s="86">
        <v>0</v>
      </c>
      <c r="S18" s="86">
        <v>15</v>
      </c>
      <c r="T18" s="86">
        <v>0</v>
      </c>
      <c r="U18" s="86"/>
      <c r="V18" s="86">
        <v>3</v>
      </c>
      <c r="W18" s="86">
        <v>18</v>
      </c>
      <c r="X18" s="86">
        <v>0</v>
      </c>
      <c r="Y18" s="86">
        <v>0</v>
      </c>
      <c r="Z18" s="86">
        <v>7</v>
      </c>
      <c r="AA18" s="86">
        <v>15</v>
      </c>
      <c r="AB18" s="86">
        <v>0</v>
      </c>
      <c r="AC18" s="88">
        <v>0</v>
      </c>
      <c r="AD18" s="86">
        <v>18</v>
      </c>
      <c r="AE18" s="86">
        <v>0</v>
      </c>
      <c r="AF18" s="86">
        <v>0</v>
      </c>
      <c r="AG18" s="86">
        <v>0</v>
      </c>
      <c r="AH18" s="86">
        <v>0</v>
      </c>
      <c r="AI18" s="86">
        <v>0</v>
      </c>
      <c r="AJ18" s="86">
        <v>0</v>
      </c>
    </row>
    <row r="19" spans="1:36" s="72" customFormat="1" ht="16.5">
      <c r="A19" s="84">
        <v>9</v>
      </c>
      <c r="B19" s="85" t="s">
        <v>114</v>
      </c>
      <c r="C19" s="86">
        <v>0</v>
      </c>
      <c r="D19" s="86">
        <v>5</v>
      </c>
      <c r="E19" s="86">
        <v>4</v>
      </c>
      <c r="F19" s="86">
        <v>0</v>
      </c>
      <c r="G19" s="86">
        <v>5</v>
      </c>
      <c r="H19" s="86">
        <v>2</v>
      </c>
      <c r="I19" s="86">
        <v>1</v>
      </c>
      <c r="J19" s="86">
        <v>2</v>
      </c>
      <c r="K19" s="86">
        <v>3</v>
      </c>
      <c r="L19" s="86">
        <v>0</v>
      </c>
      <c r="M19" s="86">
        <v>2</v>
      </c>
      <c r="N19" s="86">
        <v>3</v>
      </c>
      <c r="O19" s="86">
        <v>2</v>
      </c>
      <c r="P19" s="86">
        <v>1</v>
      </c>
      <c r="Q19" s="87">
        <f t="shared" si="0"/>
        <v>30</v>
      </c>
      <c r="R19" s="86">
        <v>0</v>
      </c>
      <c r="S19" s="86">
        <v>0</v>
      </c>
      <c r="T19" s="86">
        <v>10</v>
      </c>
      <c r="U19" s="86">
        <v>0</v>
      </c>
      <c r="V19" s="86">
        <v>30</v>
      </c>
      <c r="W19" s="86">
        <v>0</v>
      </c>
      <c r="X19" s="86">
        <v>12</v>
      </c>
      <c r="Y19" s="86">
        <v>12</v>
      </c>
      <c r="Z19" s="86">
        <v>12</v>
      </c>
      <c r="AA19" s="86">
        <v>4</v>
      </c>
      <c r="AB19" s="86">
        <v>0</v>
      </c>
      <c r="AC19" s="88">
        <v>0</v>
      </c>
      <c r="AD19" s="86">
        <v>26</v>
      </c>
      <c r="AE19" s="86">
        <v>3</v>
      </c>
      <c r="AF19" s="86">
        <v>1</v>
      </c>
      <c r="AG19" s="86">
        <v>0</v>
      </c>
      <c r="AH19" s="86">
        <v>3</v>
      </c>
      <c r="AI19" s="86">
        <v>2</v>
      </c>
      <c r="AJ19" s="86">
        <v>0</v>
      </c>
    </row>
    <row r="20" spans="1:36" s="72" customFormat="1" ht="16.5">
      <c r="A20" s="84">
        <v>10</v>
      </c>
      <c r="B20" s="85" t="s">
        <v>115</v>
      </c>
      <c r="C20" s="86">
        <v>0</v>
      </c>
      <c r="D20" s="86">
        <v>0</v>
      </c>
      <c r="E20" s="86">
        <v>0</v>
      </c>
      <c r="F20" s="86">
        <v>0</v>
      </c>
      <c r="G20" s="86">
        <v>1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2</v>
      </c>
      <c r="N20" s="86">
        <v>1</v>
      </c>
      <c r="O20" s="86">
        <v>0</v>
      </c>
      <c r="P20" s="86">
        <v>0</v>
      </c>
      <c r="Q20" s="87">
        <f t="shared" si="0"/>
        <v>4</v>
      </c>
      <c r="R20" s="86">
        <v>4</v>
      </c>
      <c r="S20" s="86">
        <v>0</v>
      </c>
      <c r="T20" s="86">
        <v>0</v>
      </c>
      <c r="U20" s="86">
        <v>0</v>
      </c>
      <c r="V20" s="86">
        <v>4</v>
      </c>
      <c r="W20" s="86">
        <v>0</v>
      </c>
      <c r="X20" s="86">
        <v>3</v>
      </c>
      <c r="Y20" s="86">
        <v>3</v>
      </c>
      <c r="Z20" s="86">
        <v>6</v>
      </c>
      <c r="AA20" s="86">
        <v>2</v>
      </c>
      <c r="AB20" s="86">
        <v>0</v>
      </c>
      <c r="AC20" s="88">
        <v>0</v>
      </c>
      <c r="AD20" s="86">
        <v>4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 s="72" customFormat="1" ht="16.5">
      <c r="A21" s="84">
        <v>11</v>
      </c>
      <c r="B21" s="85" t="s">
        <v>116</v>
      </c>
      <c r="C21" s="86">
        <v>5</v>
      </c>
      <c r="D21" s="86">
        <v>5</v>
      </c>
      <c r="E21" s="86">
        <v>1</v>
      </c>
      <c r="F21" s="86">
        <v>1</v>
      </c>
      <c r="G21" s="86">
        <v>2</v>
      </c>
      <c r="H21" s="86">
        <v>1</v>
      </c>
      <c r="I21" s="86">
        <v>1</v>
      </c>
      <c r="J21" s="86">
        <v>0</v>
      </c>
      <c r="K21" s="86">
        <v>3</v>
      </c>
      <c r="L21" s="86">
        <v>0</v>
      </c>
      <c r="M21" s="86">
        <v>0</v>
      </c>
      <c r="N21" s="86">
        <v>0</v>
      </c>
      <c r="O21" s="86">
        <v>0</v>
      </c>
      <c r="P21" s="86">
        <v>0</v>
      </c>
      <c r="Q21" s="87">
        <f t="shared" si="0"/>
        <v>19</v>
      </c>
      <c r="R21" s="86">
        <v>19</v>
      </c>
      <c r="S21" s="86">
        <v>0</v>
      </c>
      <c r="T21" s="86">
        <v>0</v>
      </c>
      <c r="U21" s="86">
        <v>0</v>
      </c>
      <c r="V21" s="86">
        <v>19</v>
      </c>
      <c r="W21" s="86">
        <v>9</v>
      </c>
      <c r="X21" s="86">
        <v>11</v>
      </c>
      <c r="Y21" s="86">
        <v>11</v>
      </c>
      <c r="Z21" s="86">
        <v>9</v>
      </c>
      <c r="AA21" s="86">
        <v>6</v>
      </c>
      <c r="AB21" s="86">
        <v>0</v>
      </c>
      <c r="AC21" s="88">
        <v>0</v>
      </c>
      <c r="AD21" s="86">
        <v>16</v>
      </c>
      <c r="AE21" s="86">
        <v>3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 s="72" customFormat="1" ht="16.5">
      <c r="A22" s="84">
        <v>12</v>
      </c>
      <c r="B22" s="85" t="s">
        <v>117</v>
      </c>
      <c r="C22" s="86">
        <v>1</v>
      </c>
      <c r="D22" s="86">
        <v>1</v>
      </c>
      <c r="E22" s="86">
        <v>2</v>
      </c>
      <c r="F22" s="86">
        <v>0</v>
      </c>
      <c r="G22" s="86">
        <v>0</v>
      </c>
      <c r="H22" s="86">
        <v>1</v>
      </c>
      <c r="I22" s="86">
        <v>0</v>
      </c>
      <c r="J22" s="86">
        <v>0</v>
      </c>
      <c r="K22" s="86">
        <v>2</v>
      </c>
      <c r="L22" s="86">
        <v>1</v>
      </c>
      <c r="M22" s="86">
        <v>0</v>
      </c>
      <c r="N22" s="86">
        <v>0</v>
      </c>
      <c r="O22" s="86">
        <v>0</v>
      </c>
      <c r="P22" s="86">
        <v>0</v>
      </c>
      <c r="Q22" s="87">
        <f t="shared" si="0"/>
        <v>8</v>
      </c>
      <c r="R22" s="86">
        <v>6</v>
      </c>
      <c r="S22" s="86">
        <v>0</v>
      </c>
      <c r="T22" s="86">
        <v>0</v>
      </c>
      <c r="U22" s="86">
        <v>2</v>
      </c>
      <c r="V22" s="86">
        <v>8</v>
      </c>
      <c r="W22" s="86">
        <v>0</v>
      </c>
      <c r="X22" s="86">
        <v>4</v>
      </c>
      <c r="Y22" s="86">
        <v>4</v>
      </c>
      <c r="Z22" s="86">
        <v>4</v>
      </c>
      <c r="AA22" s="86">
        <v>4</v>
      </c>
      <c r="AB22" s="86">
        <v>0</v>
      </c>
      <c r="AC22" s="88">
        <v>0</v>
      </c>
      <c r="AD22" s="86">
        <v>8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6">
        <v>0</v>
      </c>
    </row>
    <row r="23" spans="1:36" s="72" customFormat="1" ht="16.5">
      <c r="A23" s="84">
        <v>13</v>
      </c>
      <c r="B23" s="85" t="s">
        <v>118</v>
      </c>
      <c r="C23" s="86">
        <v>0</v>
      </c>
      <c r="D23" s="86">
        <v>0</v>
      </c>
      <c r="E23" s="86">
        <v>0</v>
      </c>
      <c r="F23" s="86">
        <v>0</v>
      </c>
      <c r="G23" s="86">
        <v>0</v>
      </c>
      <c r="H23" s="86">
        <v>1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6">
        <v>0</v>
      </c>
      <c r="P23" s="86">
        <v>1</v>
      </c>
      <c r="Q23" s="87">
        <f t="shared" si="0"/>
        <v>2</v>
      </c>
      <c r="R23" s="86">
        <v>0</v>
      </c>
      <c r="S23" s="86">
        <v>0</v>
      </c>
      <c r="T23" s="86">
        <v>2</v>
      </c>
      <c r="U23" s="86">
        <v>0</v>
      </c>
      <c r="V23" s="86">
        <v>2</v>
      </c>
      <c r="W23" s="86">
        <v>0</v>
      </c>
      <c r="X23" s="86">
        <v>0</v>
      </c>
      <c r="Y23" s="86">
        <v>0</v>
      </c>
      <c r="Z23" s="86">
        <v>0</v>
      </c>
      <c r="AA23" s="86">
        <v>0</v>
      </c>
      <c r="AB23" s="86">
        <v>2</v>
      </c>
      <c r="AC23" s="88">
        <v>0</v>
      </c>
      <c r="AD23" s="86">
        <v>2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6">
        <v>0</v>
      </c>
    </row>
    <row r="24" spans="1:36" s="72" customFormat="1" ht="16.5">
      <c r="A24" s="124" t="s">
        <v>31</v>
      </c>
      <c r="B24" s="125"/>
      <c r="C24" s="89">
        <f>SUM(C11:C23)</f>
        <v>23</v>
      </c>
      <c r="D24" s="89">
        <f t="shared" ref="D24:M24" si="1">SUM(D11:D23)</f>
        <v>38</v>
      </c>
      <c r="E24" s="89">
        <f t="shared" si="1"/>
        <v>29</v>
      </c>
      <c r="F24" s="89">
        <f t="shared" si="1"/>
        <v>10</v>
      </c>
      <c r="G24" s="89">
        <f t="shared" si="1"/>
        <v>37</v>
      </c>
      <c r="H24" s="89">
        <f t="shared" si="1"/>
        <v>32</v>
      </c>
      <c r="I24" s="89">
        <f t="shared" si="1"/>
        <v>12</v>
      </c>
      <c r="J24" s="89">
        <f t="shared" si="1"/>
        <v>12</v>
      </c>
      <c r="K24" s="89">
        <f t="shared" si="1"/>
        <v>27</v>
      </c>
      <c r="L24" s="89">
        <f t="shared" si="1"/>
        <v>8</v>
      </c>
      <c r="M24" s="89">
        <f t="shared" si="1"/>
        <v>12</v>
      </c>
      <c r="N24" s="89">
        <f>SUM(N11:N23)</f>
        <v>60</v>
      </c>
      <c r="O24" s="89">
        <f t="shared" ref="O24:P24" si="2">SUM(O11:O23)</f>
        <v>30</v>
      </c>
      <c r="P24" s="89">
        <f t="shared" si="2"/>
        <v>15</v>
      </c>
      <c r="Q24" s="87">
        <f t="shared" si="0"/>
        <v>345</v>
      </c>
      <c r="R24" s="89">
        <f t="shared" ref="R24:AB24" si="3">SUM(R11:R23)</f>
        <v>48</v>
      </c>
      <c r="S24" s="89">
        <f t="shared" si="3"/>
        <v>79</v>
      </c>
      <c r="T24" s="89">
        <f t="shared" si="3"/>
        <v>44</v>
      </c>
      <c r="U24" s="89">
        <f t="shared" si="3"/>
        <v>151</v>
      </c>
      <c r="V24" s="89">
        <f t="shared" si="3"/>
        <v>330</v>
      </c>
      <c r="W24" s="89">
        <f t="shared" si="3"/>
        <v>27</v>
      </c>
      <c r="X24" s="89">
        <f t="shared" si="3"/>
        <v>226</v>
      </c>
      <c r="Y24" s="89">
        <f t="shared" si="3"/>
        <v>226</v>
      </c>
      <c r="Z24" s="89">
        <f t="shared" si="3"/>
        <v>214</v>
      </c>
      <c r="AA24" s="89">
        <f t="shared" si="3"/>
        <v>133</v>
      </c>
      <c r="AB24" s="89">
        <f t="shared" si="3"/>
        <v>2</v>
      </c>
      <c r="AC24" s="90">
        <v>0</v>
      </c>
      <c r="AD24" s="89">
        <f t="shared" ref="AD24:AJ24" si="4">SUM(AD11:AD23)</f>
        <v>309</v>
      </c>
      <c r="AE24" s="89">
        <f t="shared" si="4"/>
        <v>25</v>
      </c>
      <c r="AF24" s="89">
        <f t="shared" si="4"/>
        <v>1</v>
      </c>
      <c r="AG24" s="89">
        <f t="shared" si="4"/>
        <v>0</v>
      </c>
      <c r="AH24" s="89">
        <f t="shared" si="4"/>
        <v>14</v>
      </c>
      <c r="AI24" s="89">
        <f t="shared" si="4"/>
        <v>4</v>
      </c>
      <c r="AJ24" s="89">
        <f t="shared" si="4"/>
        <v>0</v>
      </c>
    </row>
    <row r="25" spans="1:36" s="72" customFormat="1" ht="16.5"/>
  </sheetData>
  <mergeCells count="27">
    <mergeCell ref="AH7:AH9"/>
    <mergeCell ref="A24:B24"/>
    <mergeCell ref="V8:W8"/>
    <mergeCell ref="X8:Y8"/>
    <mergeCell ref="AD8:AD9"/>
    <mergeCell ref="AE8:AE9"/>
    <mergeCell ref="T8:U8"/>
    <mergeCell ref="AF8:AF9"/>
    <mergeCell ref="AG8:AG9"/>
    <mergeCell ref="AC7:AC9"/>
    <mergeCell ref="AD7:AG7"/>
    <mergeCell ref="A2:AJ2"/>
    <mergeCell ref="A4:B4"/>
    <mergeCell ref="A5:B5"/>
    <mergeCell ref="A7:A9"/>
    <mergeCell ref="B7:B9"/>
    <mergeCell ref="C7:P7"/>
    <mergeCell ref="Q7:Q9"/>
    <mergeCell ref="R7:U7"/>
    <mergeCell ref="V7:AA7"/>
    <mergeCell ref="AB7:AB9"/>
    <mergeCell ref="AI7:AI9"/>
    <mergeCell ref="AJ7:AJ9"/>
    <mergeCell ref="C8:I8"/>
    <mergeCell ref="J8:P8"/>
    <mergeCell ref="R8:R9"/>
    <mergeCell ref="S8:S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92F9-D381-4079-A3C1-FD4F31139D0A}">
  <dimension ref="A1:AJ23"/>
  <sheetViews>
    <sheetView topLeftCell="M4" workbookViewId="0">
      <selection activeCell="Z19" sqref="Z19"/>
    </sheetView>
  </sheetViews>
  <sheetFormatPr defaultRowHeight="15"/>
  <cols>
    <col min="1" max="1" width="4.7109375" customWidth="1"/>
    <col min="2" max="2" width="14.7109375" customWidth="1"/>
    <col min="3" max="3" width="6" customWidth="1"/>
    <col min="4" max="4" width="6.28515625" customWidth="1"/>
    <col min="5" max="5" width="6.140625" customWidth="1"/>
    <col min="6" max="6" width="6.28515625" customWidth="1"/>
    <col min="7" max="7" width="5.42578125" customWidth="1"/>
    <col min="8" max="10" width="7.42578125" customWidth="1"/>
    <col min="11" max="12" width="6.85546875" customWidth="1"/>
    <col min="13" max="13" width="6.42578125" customWidth="1"/>
    <col min="14" max="14" width="7.5703125" customWidth="1"/>
    <col min="15" max="15" width="6.7109375" customWidth="1"/>
    <col min="16" max="16" width="6.5703125" customWidth="1"/>
    <col min="17" max="17" width="8" customWidth="1"/>
    <col min="18" max="18" width="8.42578125" customWidth="1"/>
    <col min="20" max="21" width="6.85546875" customWidth="1"/>
    <col min="22" max="22" width="7.42578125" customWidth="1"/>
    <col min="23" max="23" width="7.140625" customWidth="1"/>
    <col min="24" max="25" width="8.140625" customWidth="1"/>
    <col min="28" max="28" width="6.7109375" customWidth="1"/>
    <col min="29" max="29" width="7.5703125" customWidth="1"/>
    <col min="30" max="30" width="7.85546875" customWidth="1"/>
    <col min="31" max="31" width="7.28515625" customWidth="1"/>
    <col min="32" max="32" width="8.7109375" customWidth="1"/>
    <col min="33" max="33" width="7" customWidth="1"/>
    <col min="34" max="34" width="7.85546875" customWidth="1"/>
    <col min="35" max="35" width="9.140625" customWidth="1"/>
  </cols>
  <sheetData>
    <row r="1" spans="1:36" s="72" customFormat="1" ht="20.25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</row>
    <row r="2" spans="1:36" s="72" customFormat="1" ht="16.5"/>
    <row r="3" spans="1:36" s="72" customFormat="1" ht="16.5">
      <c r="A3" s="140" t="s">
        <v>38</v>
      </c>
      <c r="B3" s="140"/>
      <c r="C3" s="72" t="s">
        <v>40</v>
      </c>
      <c r="D3" s="72" t="s">
        <v>104</v>
      </c>
    </row>
    <row r="4" spans="1:36" s="72" customFormat="1" ht="16.5">
      <c r="A4" s="140" t="s">
        <v>1</v>
      </c>
      <c r="B4" s="140"/>
      <c r="C4" s="72" t="s">
        <v>123</v>
      </c>
    </row>
    <row r="5" spans="1:36" s="72" customFormat="1" ht="16.5">
      <c r="A5" s="73" t="s">
        <v>2</v>
      </c>
      <c r="B5" s="73"/>
      <c r="D5" s="74">
        <v>2025</v>
      </c>
    </row>
    <row r="6" spans="1:36" s="72" customFormat="1" ht="16.5">
      <c r="A6" s="126" t="s">
        <v>3</v>
      </c>
      <c r="B6" s="126" t="s">
        <v>106</v>
      </c>
      <c r="C6" s="136" t="s">
        <v>4</v>
      </c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8"/>
      <c r="Q6" s="142" t="s">
        <v>5</v>
      </c>
      <c r="R6" s="129" t="s">
        <v>32</v>
      </c>
      <c r="S6" s="130"/>
      <c r="T6" s="130"/>
      <c r="U6" s="131"/>
      <c r="V6" s="136" t="s">
        <v>6</v>
      </c>
      <c r="W6" s="137"/>
      <c r="X6" s="137"/>
      <c r="Y6" s="137"/>
      <c r="Z6" s="137"/>
      <c r="AA6" s="138"/>
      <c r="AB6" s="126" t="s">
        <v>7</v>
      </c>
      <c r="AC6" s="141" t="s">
        <v>8</v>
      </c>
      <c r="AD6" s="136" t="s">
        <v>9</v>
      </c>
      <c r="AE6" s="137"/>
      <c r="AF6" s="137"/>
      <c r="AG6" s="138"/>
      <c r="AH6" s="142" t="s">
        <v>10</v>
      </c>
      <c r="AI6" s="142" t="s">
        <v>11</v>
      </c>
      <c r="AJ6" s="145" t="s">
        <v>12</v>
      </c>
    </row>
    <row r="7" spans="1:36" s="72" customFormat="1" ht="16.5">
      <c r="A7" s="127"/>
      <c r="B7" s="127"/>
      <c r="C7" s="136" t="s">
        <v>13</v>
      </c>
      <c r="D7" s="137"/>
      <c r="E7" s="137"/>
      <c r="F7" s="137"/>
      <c r="G7" s="137"/>
      <c r="H7" s="137"/>
      <c r="I7" s="138"/>
      <c r="J7" s="136" t="s">
        <v>14</v>
      </c>
      <c r="K7" s="137"/>
      <c r="L7" s="137"/>
      <c r="M7" s="137"/>
      <c r="N7" s="137"/>
      <c r="O7" s="137"/>
      <c r="P7" s="138"/>
      <c r="Q7" s="144"/>
      <c r="R7" s="132" t="s">
        <v>35</v>
      </c>
      <c r="S7" s="132" t="s">
        <v>36</v>
      </c>
      <c r="T7" s="134" t="s">
        <v>37</v>
      </c>
      <c r="U7" s="135"/>
      <c r="V7" s="146" t="s">
        <v>15</v>
      </c>
      <c r="W7" s="147"/>
      <c r="X7" s="145" t="s">
        <v>16</v>
      </c>
      <c r="Y7" s="145"/>
      <c r="Z7" s="75" t="s">
        <v>17</v>
      </c>
      <c r="AA7" s="75" t="s">
        <v>18</v>
      </c>
      <c r="AB7" s="127"/>
      <c r="AC7" s="141"/>
      <c r="AD7" s="126" t="s">
        <v>19</v>
      </c>
      <c r="AE7" s="126" t="s">
        <v>20</v>
      </c>
      <c r="AF7" s="126" t="s">
        <v>21</v>
      </c>
      <c r="AG7" s="142" t="s">
        <v>22</v>
      </c>
      <c r="AH7" s="144"/>
      <c r="AI7" s="144"/>
      <c r="AJ7" s="145"/>
    </row>
    <row r="8" spans="1:36" s="72" customFormat="1" ht="22.5">
      <c r="A8" s="128"/>
      <c r="B8" s="128"/>
      <c r="C8" s="75" t="s">
        <v>23</v>
      </c>
      <c r="D8" s="76" t="s">
        <v>24</v>
      </c>
      <c r="E8" s="77" t="s">
        <v>25</v>
      </c>
      <c r="F8" s="78" t="s">
        <v>26</v>
      </c>
      <c r="G8" s="78" t="s">
        <v>27</v>
      </c>
      <c r="H8" s="78" t="s">
        <v>28</v>
      </c>
      <c r="I8" s="75" t="s">
        <v>29</v>
      </c>
      <c r="J8" s="75" t="s">
        <v>23</v>
      </c>
      <c r="K8" s="76" t="s">
        <v>24</v>
      </c>
      <c r="L8" s="77" t="s">
        <v>25</v>
      </c>
      <c r="M8" s="78" t="s">
        <v>26</v>
      </c>
      <c r="N8" s="78" t="s">
        <v>27</v>
      </c>
      <c r="O8" s="78" t="s">
        <v>28</v>
      </c>
      <c r="P8" s="75" t="s">
        <v>29</v>
      </c>
      <c r="Q8" s="143"/>
      <c r="R8" s="133"/>
      <c r="S8" s="133"/>
      <c r="T8" s="79" t="s">
        <v>33</v>
      </c>
      <c r="U8" s="79" t="s">
        <v>34</v>
      </c>
      <c r="V8" s="80" t="s">
        <v>42</v>
      </c>
      <c r="W8" s="80" t="s">
        <v>41</v>
      </c>
      <c r="X8" s="75" t="s">
        <v>30</v>
      </c>
      <c r="Y8" s="75" t="s">
        <v>30</v>
      </c>
      <c r="Z8" s="75" t="s">
        <v>30</v>
      </c>
      <c r="AA8" s="75" t="s">
        <v>30</v>
      </c>
      <c r="AB8" s="128"/>
      <c r="AC8" s="141"/>
      <c r="AD8" s="128"/>
      <c r="AE8" s="128"/>
      <c r="AF8" s="128"/>
      <c r="AG8" s="143"/>
      <c r="AH8" s="143"/>
      <c r="AI8" s="143"/>
      <c r="AJ8" s="145"/>
    </row>
    <row r="9" spans="1:36" s="72" customFormat="1" ht="16.5">
      <c r="A9" s="82">
        <v>1</v>
      </c>
      <c r="B9" s="82">
        <v>2</v>
      </c>
      <c r="C9" s="83">
        <v>3</v>
      </c>
      <c r="D9" s="82">
        <v>4</v>
      </c>
      <c r="E9" s="82">
        <v>5</v>
      </c>
      <c r="F9" s="83">
        <v>6</v>
      </c>
      <c r="G9" s="82">
        <v>7</v>
      </c>
      <c r="H9" s="82">
        <v>8</v>
      </c>
      <c r="I9" s="83">
        <v>9</v>
      </c>
      <c r="J9" s="82">
        <v>10</v>
      </c>
      <c r="K9" s="82">
        <v>11</v>
      </c>
      <c r="L9" s="83">
        <v>12</v>
      </c>
      <c r="M9" s="82">
        <v>13</v>
      </c>
      <c r="N9" s="82">
        <v>14</v>
      </c>
      <c r="O9" s="83">
        <v>15</v>
      </c>
      <c r="P9" s="82">
        <v>16</v>
      </c>
      <c r="Q9" s="82">
        <v>17</v>
      </c>
      <c r="R9" s="83">
        <v>18</v>
      </c>
      <c r="S9" s="82">
        <v>19</v>
      </c>
      <c r="T9" s="82">
        <v>20</v>
      </c>
      <c r="U9" s="83">
        <v>21</v>
      </c>
      <c r="V9" s="82">
        <v>22</v>
      </c>
      <c r="W9" s="82">
        <v>23</v>
      </c>
      <c r="X9" s="83">
        <v>24</v>
      </c>
      <c r="Y9" s="82">
        <v>25</v>
      </c>
      <c r="Z9" s="82">
        <v>26</v>
      </c>
      <c r="AA9" s="83">
        <v>27</v>
      </c>
      <c r="AB9" s="82">
        <v>28</v>
      </c>
      <c r="AC9" s="82">
        <v>29</v>
      </c>
      <c r="AD9" s="83">
        <v>30</v>
      </c>
      <c r="AE9" s="82">
        <v>31</v>
      </c>
      <c r="AF9" s="82">
        <v>32</v>
      </c>
      <c r="AG9" s="83">
        <v>33</v>
      </c>
      <c r="AH9" s="82">
        <v>34</v>
      </c>
      <c r="AI9" s="82">
        <v>35</v>
      </c>
      <c r="AJ9" s="82">
        <v>36</v>
      </c>
    </row>
    <row r="10" spans="1:36" s="72" customFormat="1" ht="16.5">
      <c r="A10" s="84">
        <v>1</v>
      </c>
      <c r="B10" s="85" t="s">
        <v>107</v>
      </c>
      <c r="C10" s="86">
        <v>2</v>
      </c>
      <c r="D10" s="86">
        <v>5</v>
      </c>
      <c r="E10" s="86">
        <v>2</v>
      </c>
      <c r="F10" s="86">
        <v>3</v>
      </c>
      <c r="G10" s="86">
        <v>6</v>
      </c>
      <c r="H10" s="86">
        <v>4</v>
      </c>
      <c r="I10" s="86">
        <v>2</v>
      </c>
      <c r="J10" s="86">
        <v>1</v>
      </c>
      <c r="K10" s="86">
        <v>1</v>
      </c>
      <c r="L10" s="86">
        <v>2</v>
      </c>
      <c r="M10" s="86">
        <v>2</v>
      </c>
      <c r="N10" s="86">
        <v>9</v>
      </c>
      <c r="O10" s="86">
        <v>10</v>
      </c>
      <c r="P10" s="86">
        <v>1</v>
      </c>
      <c r="Q10" s="87">
        <f>SUM(C10:P10)</f>
        <v>50</v>
      </c>
      <c r="R10" s="86">
        <v>4</v>
      </c>
      <c r="S10" s="86">
        <v>0</v>
      </c>
      <c r="T10" s="86">
        <v>0</v>
      </c>
      <c r="U10" s="86">
        <v>46</v>
      </c>
      <c r="V10" s="86">
        <v>50</v>
      </c>
      <c r="W10" s="86">
        <v>0</v>
      </c>
      <c r="X10" s="86">
        <v>46</v>
      </c>
      <c r="Y10" s="86">
        <v>46</v>
      </c>
      <c r="Z10" s="86">
        <v>32</v>
      </c>
      <c r="AA10" s="86">
        <v>19</v>
      </c>
      <c r="AB10" s="86">
        <v>0</v>
      </c>
      <c r="AC10" s="88">
        <v>0</v>
      </c>
      <c r="AD10" s="86">
        <v>46</v>
      </c>
      <c r="AE10" s="86">
        <v>4</v>
      </c>
      <c r="AF10" s="86">
        <v>0</v>
      </c>
      <c r="AG10" s="86">
        <v>0</v>
      </c>
      <c r="AH10" s="86">
        <v>0</v>
      </c>
      <c r="AI10" s="86">
        <v>0</v>
      </c>
      <c r="AJ10" s="86">
        <v>0</v>
      </c>
    </row>
    <row r="11" spans="1:36" s="72" customFormat="1" ht="16.5">
      <c r="A11" s="84">
        <v>2</v>
      </c>
      <c r="B11" s="85" t="s">
        <v>108</v>
      </c>
      <c r="C11" s="86">
        <v>2</v>
      </c>
      <c r="D11" s="86">
        <v>4</v>
      </c>
      <c r="E11" s="86">
        <v>5</v>
      </c>
      <c r="F11" s="86">
        <v>0</v>
      </c>
      <c r="G11" s="86">
        <v>4</v>
      </c>
      <c r="H11" s="86">
        <v>1</v>
      </c>
      <c r="I11" s="86">
        <v>1</v>
      </c>
      <c r="J11" s="86">
        <v>0</v>
      </c>
      <c r="K11" s="86">
        <v>0</v>
      </c>
      <c r="L11" s="86">
        <v>0</v>
      </c>
      <c r="M11" s="86">
        <v>1</v>
      </c>
      <c r="N11" s="86">
        <v>5</v>
      </c>
      <c r="O11" s="86">
        <v>4</v>
      </c>
      <c r="P11" s="86">
        <v>1</v>
      </c>
      <c r="Q11" s="87">
        <f t="shared" ref="Q11:Q15" si="0">SUM(C11:P11)</f>
        <v>28</v>
      </c>
      <c r="R11" s="86">
        <v>0</v>
      </c>
      <c r="S11" s="86">
        <v>0</v>
      </c>
      <c r="T11" s="86">
        <v>0</v>
      </c>
      <c r="U11" s="86">
        <v>28</v>
      </c>
      <c r="V11" s="86">
        <v>28</v>
      </c>
      <c r="W11" s="86">
        <v>0</v>
      </c>
      <c r="X11" s="86">
        <v>25</v>
      </c>
      <c r="Y11" s="86">
        <v>25</v>
      </c>
      <c r="Z11" s="86">
        <v>19</v>
      </c>
      <c r="AA11" s="86">
        <v>13</v>
      </c>
      <c r="AB11" s="86">
        <v>0</v>
      </c>
      <c r="AC11" s="88">
        <v>0</v>
      </c>
      <c r="AD11" s="86">
        <v>25</v>
      </c>
      <c r="AE11" s="86">
        <v>3</v>
      </c>
      <c r="AF11" s="86">
        <v>0</v>
      </c>
      <c r="AG11" s="86">
        <v>0</v>
      </c>
      <c r="AH11" s="86">
        <v>2</v>
      </c>
      <c r="AI11" s="86">
        <v>1</v>
      </c>
      <c r="AJ11" s="86">
        <v>0</v>
      </c>
    </row>
    <row r="12" spans="1:36" s="72" customFormat="1" ht="16.5">
      <c r="A12" s="84">
        <v>3</v>
      </c>
      <c r="B12" s="85" t="s">
        <v>119</v>
      </c>
      <c r="C12" s="86">
        <v>3</v>
      </c>
      <c r="D12" s="86">
        <v>1</v>
      </c>
      <c r="E12" s="86">
        <v>4</v>
      </c>
      <c r="F12" s="86">
        <v>0</v>
      </c>
      <c r="G12" s="86">
        <v>3</v>
      </c>
      <c r="H12" s="86">
        <v>1</v>
      </c>
      <c r="I12" s="86">
        <v>2</v>
      </c>
      <c r="J12" s="86">
        <v>1</v>
      </c>
      <c r="K12" s="86">
        <v>1</v>
      </c>
      <c r="L12" s="86">
        <v>2</v>
      </c>
      <c r="M12" s="86">
        <v>1</v>
      </c>
      <c r="N12" s="86">
        <v>3</v>
      </c>
      <c r="O12" s="86">
        <v>5</v>
      </c>
      <c r="P12" s="86">
        <v>1</v>
      </c>
      <c r="Q12" s="87">
        <f t="shared" si="0"/>
        <v>28</v>
      </c>
      <c r="R12" s="86">
        <v>1</v>
      </c>
      <c r="S12" s="86">
        <v>3</v>
      </c>
      <c r="T12" s="86"/>
      <c r="U12" s="86">
        <v>23</v>
      </c>
      <c r="V12" s="86">
        <v>28</v>
      </c>
      <c r="W12" s="86">
        <v>0</v>
      </c>
      <c r="X12" s="86">
        <v>16</v>
      </c>
      <c r="Y12" s="86">
        <v>16</v>
      </c>
      <c r="Z12" s="86">
        <v>17</v>
      </c>
      <c r="AA12" s="86">
        <v>16</v>
      </c>
      <c r="AB12" s="86">
        <v>0</v>
      </c>
      <c r="AC12" s="88">
        <v>0</v>
      </c>
      <c r="AD12" s="86">
        <v>19</v>
      </c>
      <c r="AE12" s="86">
        <v>5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</row>
    <row r="13" spans="1:36" s="72" customFormat="1" ht="16.5">
      <c r="A13" s="84">
        <v>4</v>
      </c>
      <c r="B13" s="85" t="s">
        <v>109</v>
      </c>
      <c r="C13" s="86">
        <v>2</v>
      </c>
      <c r="D13" s="86">
        <v>5</v>
      </c>
      <c r="E13" s="86">
        <v>8</v>
      </c>
      <c r="F13" s="86">
        <v>2</v>
      </c>
      <c r="G13" s="86">
        <v>10</v>
      </c>
      <c r="H13" s="86">
        <v>5</v>
      </c>
      <c r="I13" s="86">
        <v>0</v>
      </c>
      <c r="J13" s="86">
        <v>0</v>
      </c>
      <c r="K13" s="86">
        <v>6</v>
      </c>
      <c r="L13" s="86">
        <v>2</v>
      </c>
      <c r="M13" s="86">
        <v>0</v>
      </c>
      <c r="N13" s="86">
        <v>6</v>
      </c>
      <c r="O13" s="86">
        <v>2</v>
      </c>
      <c r="P13" s="86">
        <v>5</v>
      </c>
      <c r="Q13" s="87">
        <f t="shared" si="0"/>
        <v>53</v>
      </c>
      <c r="R13" s="86">
        <v>0</v>
      </c>
      <c r="S13" s="86">
        <v>0</v>
      </c>
      <c r="T13" s="86">
        <v>2</v>
      </c>
      <c r="U13" s="86">
        <v>51</v>
      </c>
      <c r="V13" s="86">
        <v>53</v>
      </c>
      <c r="W13" s="86">
        <v>0</v>
      </c>
      <c r="X13" s="86">
        <v>30</v>
      </c>
      <c r="Y13" s="86">
        <v>30</v>
      </c>
      <c r="Z13" s="86">
        <v>21</v>
      </c>
      <c r="AA13" s="86">
        <v>19</v>
      </c>
      <c r="AB13" s="86">
        <v>0</v>
      </c>
      <c r="AC13" s="88">
        <v>0</v>
      </c>
      <c r="AD13" s="86">
        <v>52</v>
      </c>
      <c r="AE13" s="86">
        <v>1</v>
      </c>
      <c r="AF13" s="86">
        <v>0</v>
      </c>
      <c r="AG13" s="86">
        <v>0</v>
      </c>
      <c r="AH13" s="86">
        <v>0</v>
      </c>
      <c r="AI13" s="86">
        <v>0</v>
      </c>
      <c r="AJ13" s="86">
        <v>0</v>
      </c>
    </row>
    <row r="14" spans="1:36" s="72" customFormat="1" ht="16.5">
      <c r="A14" s="84">
        <v>5</v>
      </c>
      <c r="B14" s="85" t="s">
        <v>110</v>
      </c>
      <c r="C14" s="86">
        <v>3</v>
      </c>
      <c r="D14" s="86">
        <v>7</v>
      </c>
      <c r="E14" s="86">
        <v>6</v>
      </c>
      <c r="F14" s="86">
        <v>1</v>
      </c>
      <c r="G14" s="86">
        <v>6</v>
      </c>
      <c r="H14" s="86">
        <v>6</v>
      </c>
      <c r="I14" s="86">
        <v>2</v>
      </c>
      <c r="J14" s="86">
        <v>2</v>
      </c>
      <c r="K14" s="86">
        <v>3</v>
      </c>
      <c r="L14" s="86">
        <v>2</v>
      </c>
      <c r="M14" s="86">
        <v>0</v>
      </c>
      <c r="N14" s="86">
        <v>6</v>
      </c>
      <c r="O14" s="86">
        <v>10</v>
      </c>
      <c r="P14" s="86">
        <v>5</v>
      </c>
      <c r="Q14" s="87">
        <f t="shared" si="0"/>
        <v>59</v>
      </c>
      <c r="R14" s="86">
        <v>44</v>
      </c>
      <c r="S14" s="86">
        <v>15</v>
      </c>
      <c r="T14" s="86">
        <v>0</v>
      </c>
      <c r="U14" s="86">
        <v>0</v>
      </c>
      <c r="V14" s="86">
        <v>59</v>
      </c>
      <c r="W14" s="86">
        <v>0</v>
      </c>
      <c r="X14" s="86">
        <v>48</v>
      </c>
      <c r="Y14" s="86">
        <v>48</v>
      </c>
      <c r="Z14" s="86">
        <v>37</v>
      </c>
      <c r="AA14" s="86">
        <v>3</v>
      </c>
      <c r="AB14" s="86">
        <v>0</v>
      </c>
      <c r="AC14" s="88">
        <v>0</v>
      </c>
      <c r="AD14" s="86">
        <v>54</v>
      </c>
      <c r="AE14" s="86">
        <v>5</v>
      </c>
      <c r="AF14" s="86">
        <v>0</v>
      </c>
      <c r="AG14" s="86">
        <v>0</v>
      </c>
      <c r="AH14" s="86">
        <v>0</v>
      </c>
      <c r="AI14" s="86">
        <v>0</v>
      </c>
      <c r="AJ14" s="86">
        <v>0</v>
      </c>
    </row>
    <row r="15" spans="1:36" s="72" customFormat="1" ht="16.5">
      <c r="A15" s="84">
        <v>6</v>
      </c>
      <c r="B15" s="85" t="s">
        <v>111</v>
      </c>
      <c r="C15" s="86">
        <v>2</v>
      </c>
      <c r="D15" s="86">
        <v>0</v>
      </c>
      <c r="E15" s="86">
        <v>0</v>
      </c>
      <c r="F15" s="86">
        <v>0</v>
      </c>
      <c r="G15" s="86">
        <v>2</v>
      </c>
      <c r="H15" s="86">
        <v>3</v>
      </c>
      <c r="I15" s="86">
        <v>2</v>
      </c>
      <c r="J15" s="86">
        <v>1</v>
      </c>
      <c r="K15" s="86">
        <v>0</v>
      </c>
      <c r="L15" s="86">
        <v>0</v>
      </c>
      <c r="M15" s="86">
        <v>0</v>
      </c>
      <c r="N15" s="86">
        <v>4</v>
      </c>
      <c r="O15" s="86">
        <v>5</v>
      </c>
      <c r="P15" s="86">
        <v>1</v>
      </c>
      <c r="Q15" s="87">
        <f t="shared" si="0"/>
        <v>20</v>
      </c>
      <c r="R15" s="86">
        <v>1</v>
      </c>
      <c r="S15" s="86">
        <v>18</v>
      </c>
      <c r="T15" s="86">
        <v>1</v>
      </c>
      <c r="U15" s="86">
        <v>0</v>
      </c>
      <c r="V15" s="86">
        <v>20</v>
      </c>
      <c r="W15" s="86">
        <v>0</v>
      </c>
      <c r="X15" s="86">
        <v>16</v>
      </c>
      <c r="Y15" s="86">
        <v>16</v>
      </c>
      <c r="Z15" s="86">
        <v>14</v>
      </c>
      <c r="AA15" s="86">
        <v>1</v>
      </c>
      <c r="AB15" s="86">
        <v>0</v>
      </c>
      <c r="AC15" s="88">
        <v>0</v>
      </c>
      <c r="AD15" s="86">
        <v>20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s="72" customFormat="1" ht="16.5">
      <c r="A16" s="84">
        <v>7</v>
      </c>
      <c r="B16" s="85" t="s">
        <v>112</v>
      </c>
      <c r="C16" s="86">
        <v>4</v>
      </c>
      <c r="D16" s="86">
        <v>2</v>
      </c>
      <c r="E16" s="86">
        <v>5</v>
      </c>
      <c r="F16" s="86">
        <v>8</v>
      </c>
      <c r="G16" s="86">
        <v>12</v>
      </c>
      <c r="H16" s="86">
        <v>2</v>
      </c>
      <c r="I16" s="86">
        <v>8</v>
      </c>
      <c r="J16" s="86">
        <v>2</v>
      </c>
      <c r="K16" s="86">
        <v>6</v>
      </c>
      <c r="L16" s="86">
        <v>3</v>
      </c>
      <c r="M16" s="86">
        <v>5</v>
      </c>
      <c r="N16" s="86">
        <v>6</v>
      </c>
      <c r="O16" s="86">
        <v>6</v>
      </c>
      <c r="P16" s="86">
        <v>7</v>
      </c>
      <c r="Q16" s="87">
        <f>P16+O16+N16+M16+L16+K16+J16+I16+H16+G16+F16+E16+D16+C16</f>
        <v>76</v>
      </c>
      <c r="R16" s="86">
        <v>0</v>
      </c>
      <c r="S16" s="86">
        <v>0</v>
      </c>
      <c r="T16" s="86">
        <v>2</v>
      </c>
      <c r="U16" s="86">
        <v>74</v>
      </c>
      <c r="V16" s="86">
        <v>76</v>
      </c>
      <c r="W16" s="86">
        <v>0</v>
      </c>
      <c r="X16" s="86">
        <v>53</v>
      </c>
      <c r="Y16" s="86">
        <v>53</v>
      </c>
      <c r="Z16" s="86">
        <v>39</v>
      </c>
      <c r="AA16" s="86">
        <v>34</v>
      </c>
      <c r="AB16" s="86">
        <v>0</v>
      </c>
      <c r="AC16" s="88">
        <v>0</v>
      </c>
      <c r="AD16" s="86">
        <v>76</v>
      </c>
      <c r="AE16" s="86">
        <v>0</v>
      </c>
      <c r="AF16" s="86">
        <v>0</v>
      </c>
      <c r="AG16" s="86">
        <v>0</v>
      </c>
      <c r="AH16" s="86">
        <v>1</v>
      </c>
      <c r="AI16" s="86">
        <v>1</v>
      </c>
      <c r="AJ16" s="86">
        <v>0</v>
      </c>
    </row>
    <row r="17" spans="1:36" s="72" customFormat="1" ht="16.5">
      <c r="A17" s="84">
        <v>8</v>
      </c>
      <c r="B17" s="85" t="s">
        <v>113</v>
      </c>
      <c r="C17" s="86">
        <v>1</v>
      </c>
      <c r="D17" s="86">
        <v>1</v>
      </c>
      <c r="E17" s="86">
        <v>0</v>
      </c>
      <c r="F17" s="86">
        <v>0</v>
      </c>
      <c r="G17" s="86">
        <v>1</v>
      </c>
      <c r="H17" s="86">
        <v>0</v>
      </c>
      <c r="I17" s="86">
        <v>0</v>
      </c>
      <c r="J17" s="86">
        <v>0</v>
      </c>
      <c r="K17" s="86">
        <v>1</v>
      </c>
      <c r="L17" s="86">
        <v>1</v>
      </c>
      <c r="M17" s="86">
        <v>0</v>
      </c>
      <c r="N17" s="86">
        <v>6</v>
      </c>
      <c r="O17" s="86">
        <v>3</v>
      </c>
      <c r="P17" s="86">
        <v>0</v>
      </c>
      <c r="Q17" s="87">
        <f t="shared" ref="Q17:Q23" si="1">SUM(C17:P17)</f>
        <v>14</v>
      </c>
      <c r="R17" s="86">
        <v>14</v>
      </c>
      <c r="S17" s="86">
        <v>0</v>
      </c>
      <c r="T17" s="86">
        <v>0</v>
      </c>
      <c r="U17" s="86">
        <v>0</v>
      </c>
      <c r="V17" s="86">
        <v>14</v>
      </c>
      <c r="W17" s="86">
        <v>0</v>
      </c>
      <c r="X17" s="86">
        <v>10</v>
      </c>
      <c r="Y17" s="86">
        <v>10</v>
      </c>
      <c r="Z17" s="86">
        <v>13</v>
      </c>
      <c r="AA17" s="86">
        <v>6</v>
      </c>
      <c r="AB17" s="86">
        <v>0</v>
      </c>
      <c r="AC17" s="88">
        <v>0</v>
      </c>
      <c r="AD17" s="86">
        <v>13</v>
      </c>
      <c r="AE17" s="86">
        <v>1</v>
      </c>
      <c r="AF17" s="86">
        <v>0</v>
      </c>
      <c r="AG17" s="86">
        <v>0</v>
      </c>
      <c r="AH17" s="86">
        <v>0</v>
      </c>
      <c r="AI17" s="86">
        <v>0</v>
      </c>
      <c r="AJ17" s="86">
        <v>0</v>
      </c>
    </row>
    <row r="18" spans="1:36" s="72" customFormat="1" ht="16.5">
      <c r="A18" s="84">
        <v>9</v>
      </c>
      <c r="B18" s="85" t="s">
        <v>114</v>
      </c>
      <c r="C18" s="86">
        <v>1</v>
      </c>
      <c r="D18" s="86">
        <v>3</v>
      </c>
      <c r="E18" s="86">
        <v>3</v>
      </c>
      <c r="F18" s="86">
        <v>0</v>
      </c>
      <c r="G18" s="86">
        <v>4</v>
      </c>
      <c r="H18" s="86">
        <v>3</v>
      </c>
      <c r="I18" s="86">
        <v>2</v>
      </c>
      <c r="J18" s="86">
        <v>0</v>
      </c>
      <c r="K18" s="86">
        <v>5</v>
      </c>
      <c r="L18" s="86">
        <v>1</v>
      </c>
      <c r="M18" s="86">
        <v>1</v>
      </c>
      <c r="N18" s="86">
        <v>2</v>
      </c>
      <c r="O18" s="86">
        <v>2</v>
      </c>
      <c r="P18" s="86">
        <v>4</v>
      </c>
      <c r="Q18" s="87">
        <f t="shared" si="1"/>
        <v>31</v>
      </c>
      <c r="R18" s="86">
        <v>0</v>
      </c>
      <c r="S18" s="86">
        <v>0</v>
      </c>
      <c r="T18" s="86">
        <v>2</v>
      </c>
      <c r="U18" s="86">
        <v>29</v>
      </c>
      <c r="V18" s="86">
        <v>31</v>
      </c>
      <c r="W18" s="86">
        <v>0</v>
      </c>
      <c r="X18" s="86">
        <v>18</v>
      </c>
      <c r="Y18" s="86">
        <v>18</v>
      </c>
      <c r="Z18" s="86">
        <v>18</v>
      </c>
      <c r="AA18" s="86">
        <v>14</v>
      </c>
      <c r="AB18" s="86">
        <v>0</v>
      </c>
      <c r="AC18" s="88">
        <v>0</v>
      </c>
      <c r="AD18" s="86">
        <v>27</v>
      </c>
      <c r="AE18" s="86">
        <v>4</v>
      </c>
      <c r="AF18" s="86">
        <v>0</v>
      </c>
      <c r="AG18" s="86">
        <v>0</v>
      </c>
      <c r="AH18" s="86">
        <v>4</v>
      </c>
      <c r="AI18" s="86">
        <v>4</v>
      </c>
      <c r="AJ18" s="86">
        <v>0</v>
      </c>
    </row>
    <row r="19" spans="1:36" s="72" customFormat="1" ht="16.5">
      <c r="A19" s="84">
        <v>10</v>
      </c>
      <c r="B19" s="85" t="s">
        <v>115</v>
      </c>
      <c r="C19" s="86">
        <v>0</v>
      </c>
      <c r="D19" s="86">
        <v>0</v>
      </c>
      <c r="E19" s="86">
        <v>1</v>
      </c>
      <c r="F19" s="86">
        <v>1</v>
      </c>
      <c r="G19" s="86">
        <v>1</v>
      </c>
      <c r="H19" s="86">
        <v>0</v>
      </c>
      <c r="I19" s="86">
        <v>0</v>
      </c>
      <c r="J19" s="86">
        <v>0</v>
      </c>
      <c r="K19" s="86">
        <v>0</v>
      </c>
      <c r="L19" s="86">
        <v>1</v>
      </c>
      <c r="M19" s="86">
        <v>0</v>
      </c>
      <c r="N19" s="86">
        <v>1</v>
      </c>
      <c r="O19" s="86">
        <v>0</v>
      </c>
      <c r="P19" s="86">
        <v>1</v>
      </c>
      <c r="Q19" s="87">
        <f t="shared" si="1"/>
        <v>6</v>
      </c>
      <c r="R19" s="86">
        <v>6</v>
      </c>
      <c r="S19" s="86">
        <v>0</v>
      </c>
      <c r="T19" s="86">
        <v>0</v>
      </c>
      <c r="U19" s="86">
        <v>0</v>
      </c>
      <c r="V19" s="86">
        <v>6</v>
      </c>
      <c r="W19" s="86">
        <v>0</v>
      </c>
      <c r="X19" s="86">
        <v>6</v>
      </c>
      <c r="Y19" s="86">
        <v>6</v>
      </c>
      <c r="Z19" s="86">
        <v>6</v>
      </c>
      <c r="AA19" s="86">
        <v>11</v>
      </c>
      <c r="AB19" s="86">
        <v>0</v>
      </c>
      <c r="AC19" s="88">
        <v>0</v>
      </c>
      <c r="AD19" s="86">
        <v>6</v>
      </c>
      <c r="AE19" s="86">
        <v>0</v>
      </c>
      <c r="AF19" s="86">
        <v>0</v>
      </c>
      <c r="AG19" s="86">
        <v>0</v>
      </c>
      <c r="AH19" s="86">
        <v>0</v>
      </c>
      <c r="AI19" s="86">
        <v>0</v>
      </c>
      <c r="AJ19" s="86">
        <v>0</v>
      </c>
    </row>
    <row r="20" spans="1:36" s="72" customFormat="1" ht="16.5">
      <c r="A20" s="84">
        <v>11</v>
      </c>
      <c r="B20" s="85" t="s">
        <v>116</v>
      </c>
      <c r="C20" s="86">
        <v>0</v>
      </c>
      <c r="D20" s="86">
        <v>1</v>
      </c>
      <c r="E20" s="86">
        <v>1</v>
      </c>
      <c r="F20" s="86">
        <v>1</v>
      </c>
      <c r="G20" s="86">
        <v>1</v>
      </c>
      <c r="H20" s="86">
        <v>0</v>
      </c>
      <c r="I20" s="86">
        <v>1</v>
      </c>
      <c r="J20" s="86">
        <v>1</v>
      </c>
      <c r="K20" s="86">
        <v>0</v>
      </c>
      <c r="L20" s="86">
        <v>0</v>
      </c>
      <c r="M20" s="86">
        <v>0</v>
      </c>
      <c r="N20" s="86">
        <v>1</v>
      </c>
      <c r="O20" s="86">
        <v>2</v>
      </c>
      <c r="P20" s="86">
        <v>0</v>
      </c>
      <c r="Q20" s="87">
        <f t="shared" si="1"/>
        <v>9</v>
      </c>
      <c r="R20" s="86">
        <v>9</v>
      </c>
      <c r="S20" s="86">
        <v>0</v>
      </c>
      <c r="T20" s="86">
        <v>0</v>
      </c>
      <c r="U20" s="86">
        <v>0</v>
      </c>
      <c r="V20" s="86">
        <v>6</v>
      </c>
      <c r="W20" s="86">
        <v>3</v>
      </c>
      <c r="X20" s="86">
        <v>6</v>
      </c>
      <c r="Y20" s="86">
        <v>6</v>
      </c>
      <c r="Z20" s="86">
        <v>5</v>
      </c>
      <c r="AA20" s="86">
        <v>6</v>
      </c>
      <c r="AB20" s="86">
        <v>0</v>
      </c>
      <c r="AC20" s="88">
        <v>0</v>
      </c>
      <c r="AD20" s="86">
        <v>7</v>
      </c>
      <c r="AE20" s="86">
        <v>2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 s="72" customFormat="1" ht="16.5">
      <c r="A21" s="84">
        <v>12</v>
      </c>
      <c r="B21" s="85" t="s">
        <v>117</v>
      </c>
      <c r="C21" s="86">
        <v>2</v>
      </c>
      <c r="D21" s="86">
        <v>2</v>
      </c>
      <c r="E21" s="86">
        <v>2</v>
      </c>
      <c r="F21" s="86">
        <v>0</v>
      </c>
      <c r="G21" s="86">
        <v>0</v>
      </c>
      <c r="H21" s="86">
        <v>2</v>
      </c>
      <c r="I21" s="86">
        <v>1</v>
      </c>
      <c r="J21" s="86">
        <v>0</v>
      </c>
      <c r="K21" s="86">
        <v>1</v>
      </c>
      <c r="L21" s="86">
        <v>0</v>
      </c>
      <c r="M21" s="86">
        <v>0</v>
      </c>
      <c r="N21" s="86">
        <v>1</v>
      </c>
      <c r="O21" s="86">
        <v>1</v>
      </c>
      <c r="P21" s="86">
        <v>0</v>
      </c>
      <c r="Q21" s="87">
        <f t="shared" si="1"/>
        <v>12</v>
      </c>
      <c r="R21" s="86">
        <v>12</v>
      </c>
      <c r="S21" s="86">
        <v>0</v>
      </c>
      <c r="T21" s="86">
        <v>0</v>
      </c>
      <c r="U21" s="86">
        <v>0</v>
      </c>
      <c r="V21" s="86">
        <v>12</v>
      </c>
      <c r="W21" s="86">
        <v>0</v>
      </c>
      <c r="X21" s="86">
        <v>3</v>
      </c>
      <c r="Y21" s="86">
        <v>3</v>
      </c>
      <c r="Z21" s="86">
        <v>3</v>
      </c>
      <c r="AA21" s="86">
        <v>3</v>
      </c>
      <c r="AB21" s="86">
        <v>0</v>
      </c>
      <c r="AC21" s="88">
        <v>0</v>
      </c>
      <c r="AD21" s="86">
        <v>12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 s="72" customFormat="1" ht="16.5">
      <c r="A22" s="84">
        <v>13</v>
      </c>
      <c r="B22" s="85" t="s">
        <v>118</v>
      </c>
      <c r="C22" s="86">
        <v>0</v>
      </c>
      <c r="D22" s="86">
        <v>0</v>
      </c>
      <c r="E22" s="86">
        <v>0</v>
      </c>
      <c r="F22" s="86">
        <v>0</v>
      </c>
      <c r="G22" s="86">
        <v>0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6">
        <v>0</v>
      </c>
      <c r="P22" s="86">
        <v>1</v>
      </c>
      <c r="Q22" s="87">
        <f t="shared" si="1"/>
        <v>1</v>
      </c>
      <c r="R22" s="86">
        <v>0</v>
      </c>
      <c r="S22" s="86">
        <v>0</v>
      </c>
      <c r="T22" s="86">
        <v>1</v>
      </c>
      <c r="U22" s="86">
        <v>0</v>
      </c>
      <c r="V22" s="86">
        <v>1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86">
        <v>1</v>
      </c>
      <c r="AC22" s="88">
        <v>0</v>
      </c>
      <c r="AD22" s="86">
        <v>1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6">
        <v>0</v>
      </c>
    </row>
    <row r="23" spans="1:36" s="72" customFormat="1" ht="16.5">
      <c r="A23" s="124" t="s">
        <v>31</v>
      </c>
      <c r="B23" s="125"/>
      <c r="C23" s="89">
        <f>SUM(C10:C22)</f>
        <v>22</v>
      </c>
      <c r="D23" s="89">
        <f t="shared" ref="D23:M23" si="2">SUM(D10:D22)</f>
        <v>31</v>
      </c>
      <c r="E23" s="89">
        <f t="shared" si="2"/>
        <v>37</v>
      </c>
      <c r="F23" s="89">
        <f t="shared" si="2"/>
        <v>16</v>
      </c>
      <c r="G23" s="89">
        <f t="shared" si="2"/>
        <v>50</v>
      </c>
      <c r="H23" s="89">
        <f t="shared" si="2"/>
        <v>27</v>
      </c>
      <c r="I23" s="89">
        <f t="shared" si="2"/>
        <v>21</v>
      </c>
      <c r="J23" s="89">
        <f t="shared" si="2"/>
        <v>8</v>
      </c>
      <c r="K23" s="89">
        <f t="shared" si="2"/>
        <v>24</v>
      </c>
      <c r="L23" s="89">
        <f t="shared" si="2"/>
        <v>14</v>
      </c>
      <c r="M23" s="89">
        <f t="shared" si="2"/>
        <v>10</v>
      </c>
      <c r="N23" s="89">
        <f>SUM(N10:N22)</f>
        <v>50</v>
      </c>
      <c r="O23" s="89">
        <f t="shared" ref="O23:P23" si="3">SUM(O10:O22)</f>
        <v>50</v>
      </c>
      <c r="P23" s="89">
        <f t="shared" si="3"/>
        <v>27</v>
      </c>
      <c r="Q23" s="87">
        <f t="shared" si="1"/>
        <v>387</v>
      </c>
      <c r="R23" s="89">
        <f t="shared" ref="R23:AB23" si="4">SUM(R10:R22)</f>
        <v>91</v>
      </c>
      <c r="S23" s="89">
        <f t="shared" si="4"/>
        <v>36</v>
      </c>
      <c r="T23" s="89">
        <f t="shared" si="4"/>
        <v>8</v>
      </c>
      <c r="U23" s="89">
        <f t="shared" si="4"/>
        <v>251</v>
      </c>
      <c r="V23" s="89">
        <f t="shared" si="4"/>
        <v>384</v>
      </c>
      <c r="W23" s="89">
        <f t="shared" si="4"/>
        <v>3</v>
      </c>
      <c r="X23" s="89">
        <f t="shared" si="4"/>
        <v>277</v>
      </c>
      <c r="Y23" s="89">
        <f t="shared" si="4"/>
        <v>277</v>
      </c>
      <c r="Z23" s="89">
        <f t="shared" si="4"/>
        <v>224</v>
      </c>
      <c r="AA23" s="89">
        <f t="shared" si="4"/>
        <v>145</v>
      </c>
      <c r="AB23" s="89">
        <f t="shared" si="4"/>
        <v>1</v>
      </c>
      <c r="AC23" s="90">
        <v>0</v>
      </c>
      <c r="AD23" s="89">
        <f t="shared" ref="AD23:AJ23" si="5">SUM(AD10:AD22)</f>
        <v>358</v>
      </c>
      <c r="AE23" s="89">
        <f t="shared" si="5"/>
        <v>25</v>
      </c>
      <c r="AF23" s="89">
        <f t="shared" si="5"/>
        <v>0</v>
      </c>
      <c r="AG23" s="89">
        <f t="shared" si="5"/>
        <v>0</v>
      </c>
      <c r="AH23" s="89">
        <f t="shared" si="5"/>
        <v>7</v>
      </c>
      <c r="AI23" s="89">
        <f t="shared" si="5"/>
        <v>6</v>
      </c>
      <c r="AJ23" s="89">
        <f t="shared" si="5"/>
        <v>0</v>
      </c>
    </row>
  </sheetData>
  <mergeCells count="27">
    <mergeCell ref="AH6:AH8"/>
    <mergeCell ref="A23:B23"/>
    <mergeCell ref="V7:W7"/>
    <mergeCell ref="X7:Y7"/>
    <mergeCell ref="AD7:AD8"/>
    <mergeCell ref="AE7:AE8"/>
    <mergeCell ref="T7:U7"/>
    <mergeCell ref="AF7:AF8"/>
    <mergeCell ref="AG7:AG8"/>
    <mergeCell ref="AC6:AC8"/>
    <mergeCell ref="AD6:AG6"/>
    <mergeCell ref="A1:AJ1"/>
    <mergeCell ref="A3:B3"/>
    <mergeCell ref="A4:B4"/>
    <mergeCell ref="A6:A8"/>
    <mergeCell ref="B6:B8"/>
    <mergeCell ref="C6:P6"/>
    <mergeCell ref="Q6:Q8"/>
    <mergeCell ref="R6:U6"/>
    <mergeCell ref="V6:AA6"/>
    <mergeCell ref="AB6:AB8"/>
    <mergeCell ref="AI6:AI8"/>
    <mergeCell ref="AJ6:AJ8"/>
    <mergeCell ref="C7:I7"/>
    <mergeCell ref="J7:P7"/>
    <mergeCell ref="R7:R8"/>
    <mergeCell ref="S7:S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6BDB-C6D9-4ACD-848E-F807F8566E25}">
  <dimension ref="A1:AJ25"/>
  <sheetViews>
    <sheetView workbookViewId="0">
      <selection activeCell="A2" sqref="A2:AJ24"/>
    </sheetView>
  </sheetViews>
  <sheetFormatPr defaultRowHeight="15"/>
  <cols>
    <col min="1" max="1" width="5.140625" customWidth="1"/>
    <col min="2" max="2" width="14.7109375" customWidth="1"/>
    <col min="3" max="3" width="6.7109375" customWidth="1"/>
    <col min="4" max="4" width="5.85546875" customWidth="1"/>
    <col min="5" max="5" width="6" customWidth="1"/>
    <col min="6" max="6" width="6.140625" customWidth="1"/>
    <col min="7" max="7" width="6.85546875" customWidth="1"/>
    <col min="8" max="8" width="5.7109375" customWidth="1"/>
    <col min="9" max="9" width="6.42578125" customWidth="1"/>
    <col min="10" max="10" width="6.5703125" customWidth="1"/>
    <col min="11" max="11" width="5.85546875" customWidth="1"/>
    <col min="12" max="12" width="6.7109375" customWidth="1"/>
    <col min="13" max="13" width="6.28515625" customWidth="1"/>
    <col min="14" max="14" width="7" customWidth="1"/>
    <col min="15" max="15" width="5.7109375" customWidth="1"/>
    <col min="16" max="16" width="6.5703125" customWidth="1"/>
    <col min="18" max="18" width="7" customWidth="1"/>
    <col min="19" max="19" width="7.42578125" customWidth="1"/>
    <col min="20" max="20" width="6.85546875" customWidth="1"/>
    <col min="21" max="21" width="6.140625" customWidth="1"/>
    <col min="22" max="22" width="6.5703125" customWidth="1"/>
    <col min="23" max="24" width="6.7109375" customWidth="1"/>
    <col min="25" max="25" width="6.42578125" customWidth="1"/>
    <col min="26" max="26" width="7.42578125" customWidth="1"/>
    <col min="27" max="27" width="7.5703125" customWidth="1"/>
    <col min="28" max="28" width="6.7109375" customWidth="1"/>
    <col min="30" max="30" width="6.85546875" customWidth="1"/>
    <col min="31" max="31" width="8.140625" customWidth="1"/>
    <col min="32" max="32" width="8" customWidth="1"/>
    <col min="33" max="33" width="8.140625" customWidth="1"/>
    <col min="34" max="34" width="8.28515625" customWidth="1"/>
    <col min="35" max="35" width="8.5703125" customWidth="1"/>
  </cols>
  <sheetData>
    <row r="1" spans="1:36" ht="16.5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2" spans="1:36" ht="20.25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1:36" ht="16.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</row>
    <row r="4" spans="1:36" ht="16.5">
      <c r="A4" s="140" t="s">
        <v>38</v>
      </c>
      <c r="B4" s="140"/>
      <c r="C4" s="72" t="s">
        <v>40</v>
      </c>
      <c r="D4" s="72" t="s">
        <v>104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</row>
    <row r="5" spans="1:36" ht="16.5">
      <c r="A5" s="140" t="s">
        <v>1</v>
      </c>
      <c r="B5" s="140"/>
      <c r="C5" s="72" t="s">
        <v>127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 t="s">
        <v>128</v>
      </c>
    </row>
    <row r="6" spans="1:36" ht="16.5">
      <c r="A6" s="73" t="s">
        <v>2</v>
      </c>
      <c r="B6" s="73"/>
      <c r="C6" s="72"/>
      <c r="D6" s="74">
        <v>2025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</row>
    <row r="7" spans="1:36">
      <c r="A7" s="148" t="s">
        <v>3</v>
      </c>
      <c r="B7" s="148" t="s">
        <v>106</v>
      </c>
      <c r="C7" s="151" t="s">
        <v>4</v>
      </c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3"/>
      <c r="Q7" s="142" t="s">
        <v>5</v>
      </c>
      <c r="R7" s="129" t="s">
        <v>32</v>
      </c>
      <c r="S7" s="130"/>
      <c r="T7" s="130"/>
      <c r="U7" s="131"/>
      <c r="V7" s="136" t="s">
        <v>6</v>
      </c>
      <c r="W7" s="137"/>
      <c r="X7" s="137"/>
      <c r="Y7" s="137"/>
      <c r="Z7" s="137"/>
      <c r="AA7" s="138"/>
      <c r="AB7" s="126" t="s">
        <v>7</v>
      </c>
      <c r="AC7" s="141" t="s">
        <v>8</v>
      </c>
      <c r="AD7" s="136" t="s">
        <v>9</v>
      </c>
      <c r="AE7" s="137"/>
      <c r="AF7" s="137"/>
      <c r="AG7" s="138"/>
      <c r="AH7" s="142" t="s">
        <v>10</v>
      </c>
      <c r="AI7" s="142" t="s">
        <v>11</v>
      </c>
      <c r="AJ7" s="145" t="s">
        <v>12</v>
      </c>
    </row>
    <row r="8" spans="1:36">
      <c r="A8" s="149"/>
      <c r="B8" s="149"/>
      <c r="C8" s="151" t="s">
        <v>13</v>
      </c>
      <c r="D8" s="152"/>
      <c r="E8" s="152"/>
      <c r="F8" s="152"/>
      <c r="G8" s="152"/>
      <c r="H8" s="152"/>
      <c r="I8" s="153"/>
      <c r="J8" s="151" t="s">
        <v>14</v>
      </c>
      <c r="K8" s="152"/>
      <c r="L8" s="152"/>
      <c r="M8" s="152"/>
      <c r="N8" s="152"/>
      <c r="O8" s="152"/>
      <c r="P8" s="153"/>
      <c r="Q8" s="144"/>
      <c r="R8" s="132" t="s">
        <v>35</v>
      </c>
      <c r="S8" s="132" t="s">
        <v>36</v>
      </c>
      <c r="T8" s="134" t="s">
        <v>37</v>
      </c>
      <c r="U8" s="135"/>
      <c r="V8" s="146" t="s">
        <v>15</v>
      </c>
      <c r="W8" s="147"/>
      <c r="X8" s="145" t="s">
        <v>16</v>
      </c>
      <c r="Y8" s="145"/>
      <c r="Z8" s="75" t="s">
        <v>17</v>
      </c>
      <c r="AA8" s="75" t="s">
        <v>18</v>
      </c>
      <c r="AB8" s="127"/>
      <c r="AC8" s="141"/>
      <c r="AD8" s="126" t="s">
        <v>19</v>
      </c>
      <c r="AE8" s="126" t="s">
        <v>20</v>
      </c>
      <c r="AF8" s="126" t="s">
        <v>21</v>
      </c>
      <c r="AG8" s="142" t="s">
        <v>22</v>
      </c>
      <c r="AH8" s="144"/>
      <c r="AI8" s="144"/>
      <c r="AJ8" s="145"/>
    </row>
    <row r="9" spans="1:36" ht="22.5">
      <c r="A9" s="150"/>
      <c r="B9" s="150"/>
      <c r="C9" s="114" t="s">
        <v>23</v>
      </c>
      <c r="D9" s="115" t="s">
        <v>24</v>
      </c>
      <c r="E9" s="116" t="s">
        <v>25</v>
      </c>
      <c r="F9" s="117" t="s">
        <v>26</v>
      </c>
      <c r="G9" s="117" t="s">
        <v>27</v>
      </c>
      <c r="H9" s="117" t="s">
        <v>28</v>
      </c>
      <c r="I9" s="114" t="s">
        <v>29</v>
      </c>
      <c r="J9" s="114" t="s">
        <v>23</v>
      </c>
      <c r="K9" s="115" t="s">
        <v>24</v>
      </c>
      <c r="L9" s="116" t="s">
        <v>25</v>
      </c>
      <c r="M9" s="117" t="s">
        <v>26</v>
      </c>
      <c r="N9" s="117" t="s">
        <v>27</v>
      </c>
      <c r="O9" s="117" t="s">
        <v>28</v>
      </c>
      <c r="P9" s="114" t="s">
        <v>29</v>
      </c>
      <c r="Q9" s="143"/>
      <c r="R9" s="133"/>
      <c r="S9" s="133"/>
      <c r="T9" s="79" t="s">
        <v>33</v>
      </c>
      <c r="U9" s="79" t="s">
        <v>34</v>
      </c>
      <c r="V9" s="80" t="s">
        <v>42</v>
      </c>
      <c r="W9" s="80" t="s">
        <v>41</v>
      </c>
      <c r="X9" s="75" t="s">
        <v>30</v>
      </c>
      <c r="Y9" s="75" t="s">
        <v>30</v>
      </c>
      <c r="Z9" s="75" t="s">
        <v>30</v>
      </c>
      <c r="AA9" s="75" t="s">
        <v>30</v>
      </c>
      <c r="AB9" s="128"/>
      <c r="AC9" s="141"/>
      <c r="AD9" s="128"/>
      <c r="AE9" s="128"/>
      <c r="AF9" s="128"/>
      <c r="AG9" s="143"/>
      <c r="AH9" s="143"/>
      <c r="AI9" s="143"/>
      <c r="AJ9" s="145"/>
    </row>
    <row r="10" spans="1:36">
      <c r="A10" s="118">
        <v>1</v>
      </c>
      <c r="B10" s="118">
        <v>2</v>
      </c>
      <c r="C10" s="119">
        <v>3</v>
      </c>
      <c r="D10" s="118">
        <v>4</v>
      </c>
      <c r="E10" s="118">
        <v>5</v>
      </c>
      <c r="F10" s="119">
        <v>6</v>
      </c>
      <c r="G10" s="118">
        <v>7</v>
      </c>
      <c r="H10" s="118">
        <v>8</v>
      </c>
      <c r="I10" s="119">
        <v>9</v>
      </c>
      <c r="J10" s="118">
        <v>10</v>
      </c>
      <c r="K10" s="118">
        <v>11</v>
      </c>
      <c r="L10" s="119">
        <v>12</v>
      </c>
      <c r="M10" s="118">
        <v>13</v>
      </c>
      <c r="N10" s="118">
        <v>14</v>
      </c>
      <c r="O10" s="119">
        <v>15</v>
      </c>
      <c r="P10" s="118">
        <v>16</v>
      </c>
      <c r="Q10" s="82">
        <v>17</v>
      </c>
      <c r="R10" s="83">
        <v>18</v>
      </c>
      <c r="S10" s="82">
        <v>19</v>
      </c>
      <c r="T10" s="82">
        <v>20</v>
      </c>
      <c r="U10" s="83">
        <v>21</v>
      </c>
      <c r="V10" s="82">
        <v>22</v>
      </c>
      <c r="W10" s="82">
        <v>23</v>
      </c>
      <c r="X10" s="83">
        <v>24</v>
      </c>
      <c r="Y10" s="82">
        <v>25</v>
      </c>
      <c r="Z10" s="82">
        <v>26</v>
      </c>
      <c r="AA10" s="83">
        <v>27</v>
      </c>
      <c r="AB10" s="82">
        <v>28</v>
      </c>
      <c r="AC10" s="82">
        <v>29</v>
      </c>
      <c r="AD10" s="83">
        <v>30</v>
      </c>
      <c r="AE10" s="82">
        <v>31</v>
      </c>
      <c r="AF10" s="82">
        <v>32</v>
      </c>
      <c r="AG10" s="83">
        <v>33</v>
      </c>
      <c r="AH10" s="82">
        <v>34</v>
      </c>
      <c r="AI10" s="82">
        <v>35</v>
      </c>
      <c r="AJ10" s="82">
        <v>36</v>
      </c>
    </row>
    <row r="11" spans="1:36" ht="15.75">
      <c r="A11" s="120">
        <v>1</v>
      </c>
      <c r="B11" s="121" t="s">
        <v>107</v>
      </c>
      <c r="C11" s="122">
        <v>4</v>
      </c>
      <c r="D11" s="122">
        <v>3</v>
      </c>
      <c r="E11" s="122">
        <v>1</v>
      </c>
      <c r="F11" s="122">
        <v>4</v>
      </c>
      <c r="G11" s="122">
        <v>11</v>
      </c>
      <c r="H11" s="122">
        <v>7</v>
      </c>
      <c r="I11" s="122">
        <v>0</v>
      </c>
      <c r="J11" s="122">
        <v>1</v>
      </c>
      <c r="K11" s="122">
        <v>0</v>
      </c>
      <c r="L11" s="122">
        <v>0</v>
      </c>
      <c r="M11" s="122">
        <v>0</v>
      </c>
      <c r="N11" s="122">
        <v>8</v>
      </c>
      <c r="O11" s="122">
        <v>8</v>
      </c>
      <c r="P11" s="122">
        <v>4</v>
      </c>
      <c r="Q11" s="87">
        <f>SUM(C11:P11)</f>
        <v>51</v>
      </c>
      <c r="R11" s="86">
        <v>51</v>
      </c>
      <c r="S11" s="86">
        <v>0</v>
      </c>
      <c r="T11" s="86">
        <v>0</v>
      </c>
      <c r="U11" s="86">
        <v>0</v>
      </c>
      <c r="V11" s="86">
        <v>51</v>
      </c>
      <c r="W11" s="86">
        <v>0</v>
      </c>
      <c r="X11" s="86">
        <v>45</v>
      </c>
      <c r="Y11" s="86">
        <v>45</v>
      </c>
      <c r="Z11" s="86">
        <v>39</v>
      </c>
      <c r="AA11" s="86">
        <v>34</v>
      </c>
      <c r="AB11" s="86">
        <v>0</v>
      </c>
      <c r="AC11" s="88">
        <v>0</v>
      </c>
      <c r="AD11" s="86">
        <v>51</v>
      </c>
      <c r="AE11" s="86">
        <v>0</v>
      </c>
      <c r="AF11" s="86">
        <v>0</v>
      </c>
      <c r="AG11" s="86">
        <v>0</v>
      </c>
      <c r="AH11" s="86">
        <v>1</v>
      </c>
      <c r="AI11" s="86">
        <v>0</v>
      </c>
      <c r="AJ11" s="86">
        <v>0</v>
      </c>
    </row>
    <row r="12" spans="1:36" ht="15.75">
      <c r="A12" s="120">
        <v>2</v>
      </c>
      <c r="B12" s="121" t="s">
        <v>108</v>
      </c>
      <c r="C12" s="122">
        <v>1</v>
      </c>
      <c r="D12" s="122">
        <v>3</v>
      </c>
      <c r="E12" s="122">
        <v>2</v>
      </c>
      <c r="F12" s="122">
        <v>1</v>
      </c>
      <c r="G12" s="122">
        <v>2</v>
      </c>
      <c r="H12" s="122">
        <v>2</v>
      </c>
      <c r="I12" s="122">
        <v>0</v>
      </c>
      <c r="J12" s="122">
        <v>0</v>
      </c>
      <c r="K12" s="122">
        <v>1</v>
      </c>
      <c r="L12" s="122">
        <v>0</v>
      </c>
      <c r="M12" s="122">
        <v>0</v>
      </c>
      <c r="N12" s="122">
        <v>2</v>
      </c>
      <c r="O12" s="122">
        <v>2</v>
      </c>
      <c r="P12" s="122">
        <v>3</v>
      </c>
      <c r="Q12" s="87">
        <f t="shared" ref="Q12:Q24" si="0">SUM(C12:P12)</f>
        <v>19</v>
      </c>
      <c r="R12" s="86">
        <v>0</v>
      </c>
      <c r="S12" s="86">
        <v>0</v>
      </c>
      <c r="T12" s="86">
        <v>4</v>
      </c>
      <c r="U12" s="86">
        <v>15</v>
      </c>
      <c r="V12" s="86">
        <v>19</v>
      </c>
      <c r="W12" s="86">
        <v>0</v>
      </c>
      <c r="X12" s="86">
        <v>11</v>
      </c>
      <c r="Y12" s="86">
        <v>11</v>
      </c>
      <c r="Z12" s="86">
        <v>17</v>
      </c>
      <c r="AA12" s="86">
        <v>14</v>
      </c>
      <c r="AB12" s="86">
        <v>0</v>
      </c>
      <c r="AC12" s="88">
        <v>0</v>
      </c>
      <c r="AD12" s="86">
        <v>15</v>
      </c>
      <c r="AE12" s="86">
        <v>4</v>
      </c>
      <c r="AF12" s="86">
        <v>0</v>
      </c>
      <c r="AG12" s="86">
        <v>0</v>
      </c>
      <c r="AH12" s="86">
        <v>1</v>
      </c>
      <c r="AI12" s="86">
        <v>1</v>
      </c>
      <c r="AJ12" s="86">
        <v>0</v>
      </c>
    </row>
    <row r="13" spans="1:36" ht="15.75">
      <c r="A13" s="120">
        <v>3</v>
      </c>
      <c r="B13" s="121" t="s">
        <v>119</v>
      </c>
      <c r="C13" s="122">
        <v>3</v>
      </c>
      <c r="D13" s="122">
        <v>0</v>
      </c>
      <c r="E13" s="122">
        <v>2</v>
      </c>
      <c r="F13" s="122">
        <v>2</v>
      </c>
      <c r="G13" s="122">
        <v>5</v>
      </c>
      <c r="H13" s="122">
        <v>4</v>
      </c>
      <c r="I13" s="122">
        <v>1</v>
      </c>
      <c r="J13" s="122">
        <v>1</v>
      </c>
      <c r="K13" s="122">
        <v>1</v>
      </c>
      <c r="L13" s="122">
        <v>0</v>
      </c>
      <c r="M13" s="122">
        <v>1</v>
      </c>
      <c r="N13" s="122">
        <v>3</v>
      </c>
      <c r="O13" s="122">
        <v>4</v>
      </c>
      <c r="P13" s="122">
        <v>2</v>
      </c>
      <c r="Q13" s="87">
        <f t="shared" si="0"/>
        <v>29</v>
      </c>
      <c r="R13" s="86">
        <v>1</v>
      </c>
      <c r="S13" s="86">
        <v>0</v>
      </c>
      <c r="T13" s="86">
        <v>0</v>
      </c>
      <c r="U13" s="86">
        <v>28</v>
      </c>
      <c r="V13" s="86">
        <v>29</v>
      </c>
      <c r="W13" s="86">
        <v>0</v>
      </c>
      <c r="X13" s="86">
        <v>17</v>
      </c>
      <c r="Y13" s="86">
        <v>17</v>
      </c>
      <c r="Z13" s="86">
        <v>15</v>
      </c>
      <c r="AA13" s="86">
        <v>10</v>
      </c>
      <c r="AB13" s="86">
        <v>0</v>
      </c>
      <c r="AC13" s="88">
        <v>0</v>
      </c>
      <c r="AD13" s="86">
        <v>24</v>
      </c>
      <c r="AE13" s="86">
        <v>5</v>
      </c>
      <c r="AF13" s="86">
        <v>0</v>
      </c>
      <c r="AG13" s="86">
        <v>0</v>
      </c>
      <c r="AH13" s="86">
        <v>3</v>
      </c>
      <c r="AI13" s="86">
        <v>0</v>
      </c>
      <c r="AJ13" s="86">
        <v>0</v>
      </c>
    </row>
    <row r="14" spans="1:36" ht="15.75">
      <c r="A14" s="120">
        <v>4</v>
      </c>
      <c r="B14" s="121" t="s">
        <v>109</v>
      </c>
      <c r="C14" s="122">
        <v>3</v>
      </c>
      <c r="D14" s="122">
        <v>5</v>
      </c>
      <c r="E14" s="122">
        <v>1</v>
      </c>
      <c r="F14" s="122">
        <v>1</v>
      </c>
      <c r="G14" s="122">
        <v>5</v>
      </c>
      <c r="H14" s="122">
        <v>6</v>
      </c>
      <c r="I14" s="122">
        <v>2</v>
      </c>
      <c r="J14" s="122">
        <v>2</v>
      </c>
      <c r="K14" s="122">
        <v>3</v>
      </c>
      <c r="L14" s="122">
        <v>0</v>
      </c>
      <c r="M14" s="122">
        <v>1</v>
      </c>
      <c r="N14" s="122">
        <v>8</v>
      </c>
      <c r="O14" s="122">
        <v>5</v>
      </c>
      <c r="P14" s="122">
        <v>2</v>
      </c>
      <c r="Q14" s="87">
        <f t="shared" si="0"/>
        <v>44</v>
      </c>
      <c r="R14" s="86">
        <v>0</v>
      </c>
      <c r="S14" s="86">
        <v>0</v>
      </c>
      <c r="T14" s="86">
        <v>2</v>
      </c>
      <c r="U14" s="86">
        <v>42</v>
      </c>
      <c r="V14" s="86">
        <v>44</v>
      </c>
      <c r="W14" s="86">
        <v>0</v>
      </c>
      <c r="X14" s="86">
        <v>28</v>
      </c>
      <c r="Y14" s="86">
        <v>28</v>
      </c>
      <c r="Z14" s="86" t="s">
        <v>129</v>
      </c>
      <c r="AA14" s="86">
        <v>21</v>
      </c>
      <c r="AB14" s="86">
        <v>0</v>
      </c>
      <c r="AC14" s="88">
        <v>0</v>
      </c>
      <c r="AD14" s="86">
        <v>42</v>
      </c>
      <c r="AE14" s="86">
        <v>2</v>
      </c>
      <c r="AF14" s="86">
        <v>0</v>
      </c>
      <c r="AG14" s="86">
        <v>0</v>
      </c>
      <c r="AH14" s="86">
        <v>1</v>
      </c>
      <c r="AI14" s="86">
        <v>0</v>
      </c>
      <c r="AJ14" s="86">
        <v>0</v>
      </c>
    </row>
    <row r="15" spans="1:36" ht="15.75">
      <c r="A15" s="120">
        <v>5</v>
      </c>
      <c r="B15" s="121" t="s">
        <v>110</v>
      </c>
      <c r="C15" s="122">
        <v>4</v>
      </c>
      <c r="D15" s="122">
        <v>6</v>
      </c>
      <c r="E15" s="122">
        <v>6</v>
      </c>
      <c r="F15" s="122">
        <v>3</v>
      </c>
      <c r="G15" s="122">
        <v>5</v>
      </c>
      <c r="H15" s="122">
        <v>3</v>
      </c>
      <c r="I15" s="122">
        <v>2</v>
      </c>
      <c r="J15" s="122">
        <v>0</v>
      </c>
      <c r="K15" s="122">
        <v>5</v>
      </c>
      <c r="L15" s="122">
        <v>2</v>
      </c>
      <c r="M15" s="122">
        <v>0</v>
      </c>
      <c r="N15" s="122">
        <v>7</v>
      </c>
      <c r="O15" s="122">
        <v>8</v>
      </c>
      <c r="P15" s="122">
        <v>2</v>
      </c>
      <c r="Q15" s="87">
        <f t="shared" si="0"/>
        <v>53</v>
      </c>
      <c r="R15" s="86">
        <v>26</v>
      </c>
      <c r="S15" s="86">
        <v>27</v>
      </c>
      <c r="T15" s="86">
        <v>0</v>
      </c>
      <c r="U15" s="86">
        <v>0</v>
      </c>
      <c r="V15" s="86">
        <v>53</v>
      </c>
      <c r="W15" s="86">
        <v>0</v>
      </c>
      <c r="X15" s="86">
        <v>43</v>
      </c>
      <c r="Y15" s="86">
        <v>43</v>
      </c>
      <c r="Z15" s="86">
        <v>15</v>
      </c>
      <c r="AA15" s="86">
        <v>13</v>
      </c>
      <c r="AB15" s="86">
        <v>0</v>
      </c>
      <c r="AC15" s="88">
        <v>0</v>
      </c>
      <c r="AD15" s="86">
        <v>51</v>
      </c>
      <c r="AE15" s="86">
        <v>2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ht="15.75">
      <c r="A16" s="120">
        <v>6</v>
      </c>
      <c r="B16" s="121" t="s">
        <v>111</v>
      </c>
      <c r="C16" s="122">
        <v>1</v>
      </c>
      <c r="D16" s="122">
        <v>0</v>
      </c>
      <c r="E16" s="122">
        <v>1</v>
      </c>
      <c r="F16" s="122">
        <v>1</v>
      </c>
      <c r="G16" s="122">
        <v>3</v>
      </c>
      <c r="H16" s="122">
        <v>3</v>
      </c>
      <c r="I16" s="122">
        <v>1</v>
      </c>
      <c r="J16" s="122">
        <v>2</v>
      </c>
      <c r="K16" s="122">
        <v>1</v>
      </c>
      <c r="L16" s="122">
        <v>1</v>
      </c>
      <c r="M16" s="122">
        <v>0</v>
      </c>
      <c r="N16" s="122">
        <v>5</v>
      </c>
      <c r="O16" s="122">
        <v>3</v>
      </c>
      <c r="P16" s="122">
        <v>0</v>
      </c>
      <c r="Q16" s="87">
        <f t="shared" si="0"/>
        <v>22</v>
      </c>
      <c r="R16" s="86">
        <v>2</v>
      </c>
      <c r="S16" s="86">
        <v>19</v>
      </c>
      <c r="T16" s="86">
        <v>1</v>
      </c>
      <c r="U16" s="86">
        <v>0</v>
      </c>
      <c r="V16" s="86">
        <v>22</v>
      </c>
      <c r="W16" s="86">
        <v>0</v>
      </c>
      <c r="X16" s="86">
        <v>19</v>
      </c>
      <c r="Y16" s="86">
        <v>19</v>
      </c>
      <c r="Z16" s="86">
        <v>10</v>
      </c>
      <c r="AA16" s="86">
        <v>0</v>
      </c>
      <c r="AB16" s="86">
        <v>0</v>
      </c>
      <c r="AC16" s="88">
        <v>0</v>
      </c>
      <c r="AD16" s="86">
        <v>20</v>
      </c>
      <c r="AE16" s="86">
        <v>2</v>
      </c>
      <c r="AF16" s="86">
        <v>0</v>
      </c>
      <c r="AG16" s="86">
        <v>0</v>
      </c>
      <c r="AH16" s="86">
        <v>0</v>
      </c>
      <c r="AI16" s="86">
        <v>0</v>
      </c>
      <c r="AJ16" s="86">
        <v>0</v>
      </c>
    </row>
    <row r="17" spans="1:36" ht="15.75">
      <c r="A17" s="120">
        <v>7</v>
      </c>
      <c r="B17" s="121" t="s">
        <v>112</v>
      </c>
      <c r="C17" s="122">
        <v>3</v>
      </c>
      <c r="D17" s="122">
        <v>7</v>
      </c>
      <c r="E17" s="122">
        <v>5</v>
      </c>
      <c r="F17" s="122">
        <v>0</v>
      </c>
      <c r="G17" s="122">
        <v>12</v>
      </c>
      <c r="H17" s="122">
        <v>9</v>
      </c>
      <c r="I17" s="122">
        <v>2</v>
      </c>
      <c r="J17" s="122">
        <v>5</v>
      </c>
      <c r="K17" s="122">
        <v>5</v>
      </c>
      <c r="L17" s="122">
        <v>4</v>
      </c>
      <c r="M17" s="122">
        <v>1</v>
      </c>
      <c r="N17" s="122">
        <v>11</v>
      </c>
      <c r="O17" s="122">
        <v>7</v>
      </c>
      <c r="P17" s="122">
        <v>6</v>
      </c>
      <c r="Q17" s="87">
        <v>77</v>
      </c>
      <c r="R17" s="86">
        <v>7</v>
      </c>
      <c r="S17" s="86">
        <v>0</v>
      </c>
      <c r="T17" s="86">
        <v>2</v>
      </c>
      <c r="U17" s="86">
        <v>68</v>
      </c>
      <c r="V17" s="86">
        <v>77</v>
      </c>
      <c r="W17" s="86">
        <v>0</v>
      </c>
      <c r="X17" s="86">
        <v>57</v>
      </c>
      <c r="Y17" s="86">
        <v>57</v>
      </c>
      <c r="Z17" s="86">
        <v>41</v>
      </c>
      <c r="AA17" s="86">
        <v>22</v>
      </c>
      <c r="AB17" s="86">
        <v>0</v>
      </c>
      <c r="AC17" s="88">
        <v>0</v>
      </c>
      <c r="AD17" s="86">
        <v>77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6">
        <v>0</v>
      </c>
    </row>
    <row r="18" spans="1:36" ht="15.75">
      <c r="A18" s="120">
        <v>8</v>
      </c>
      <c r="B18" s="121" t="s">
        <v>113</v>
      </c>
      <c r="C18" s="122">
        <v>0</v>
      </c>
      <c r="D18" s="122">
        <v>1</v>
      </c>
      <c r="E18" s="122">
        <v>0</v>
      </c>
      <c r="F18" s="122">
        <v>0</v>
      </c>
      <c r="G18" s="122">
        <v>0</v>
      </c>
      <c r="H18" s="122">
        <v>6</v>
      </c>
      <c r="I18" s="122">
        <v>0</v>
      </c>
      <c r="J18" s="122">
        <v>0</v>
      </c>
      <c r="K18" s="122">
        <v>1</v>
      </c>
      <c r="L18" s="122">
        <v>0</v>
      </c>
      <c r="M18" s="122">
        <v>0</v>
      </c>
      <c r="N18" s="122">
        <v>5</v>
      </c>
      <c r="O18" s="122">
        <v>5</v>
      </c>
      <c r="P18" s="122">
        <v>1</v>
      </c>
      <c r="Q18" s="87">
        <f t="shared" si="0"/>
        <v>19</v>
      </c>
      <c r="R18" s="86">
        <v>0</v>
      </c>
      <c r="S18" s="86">
        <v>0</v>
      </c>
      <c r="T18" s="86"/>
      <c r="U18" s="86">
        <v>19</v>
      </c>
      <c r="V18" s="86">
        <v>19</v>
      </c>
      <c r="W18" s="86">
        <v>0</v>
      </c>
      <c r="X18" s="86">
        <v>9</v>
      </c>
      <c r="Y18" s="86">
        <v>9</v>
      </c>
      <c r="Z18" s="86">
        <v>16</v>
      </c>
      <c r="AA18" s="86">
        <v>13</v>
      </c>
      <c r="AB18" s="86">
        <v>0</v>
      </c>
      <c r="AC18" s="88">
        <v>0</v>
      </c>
      <c r="AD18" s="86">
        <v>19</v>
      </c>
      <c r="AE18" s="86">
        <v>0</v>
      </c>
      <c r="AF18" s="86">
        <v>0</v>
      </c>
      <c r="AG18" s="86">
        <v>0</v>
      </c>
      <c r="AH18" s="86">
        <v>0</v>
      </c>
      <c r="AI18" s="86">
        <v>0</v>
      </c>
      <c r="AJ18" s="86">
        <v>0</v>
      </c>
    </row>
    <row r="19" spans="1:36" ht="15.75">
      <c r="A19" s="120">
        <v>9</v>
      </c>
      <c r="B19" s="121" t="s">
        <v>114</v>
      </c>
      <c r="C19" s="122">
        <v>2</v>
      </c>
      <c r="D19" s="122">
        <v>4</v>
      </c>
      <c r="E19" s="122">
        <v>0</v>
      </c>
      <c r="F19" s="122">
        <v>1</v>
      </c>
      <c r="G19" s="122">
        <v>0</v>
      </c>
      <c r="H19" s="122">
        <v>3</v>
      </c>
      <c r="I19" s="122">
        <v>0</v>
      </c>
      <c r="J19" s="122">
        <v>2</v>
      </c>
      <c r="K19" s="122">
        <v>0</v>
      </c>
      <c r="L19" s="122">
        <v>1</v>
      </c>
      <c r="M19" s="122">
        <v>0</v>
      </c>
      <c r="N19" s="122">
        <v>5</v>
      </c>
      <c r="O19" s="122">
        <v>2</v>
      </c>
      <c r="P19" s="122">
        <v>3</v>
      </c>
      <c r="Q19" s="87">
        <f t="shared" si="0"/>
        <v>23</v>
      </c>
      <c r="R19" s="86">
        <v>0</v>
      </c>
      <c r="S19" s="86">
        <v>0</v>
      </c>
      <c r="T19" s="86">
        <v>2</v>
      </c>
      <c r="U19" s="86">
        <v>21</v>
      </c>
      <c r="V19" s="86">
        <v>23</v>
      </c>
      <c r="W19" s="86">
        <v>0</v>
      </c>
      <c r="X19" s="86">
        <v>6</v>
      </c>
      <c r="Y19" s="86">
        <v>6</v>
      </c>
      <c r="Z19" s="86">
        <v>4</v>
      </c>
      <c r="AA19" s="86">
        <v>11</v>
      </c>
      <c r="AB19" s="86">
        <v>0</v>
      </c>
      <c r="AC19" s="88">
        <v>0</v>
      </c>
      <c r="AD19" s="86">
        <v>22</v>
      </c>
      <c r="AE19" s="86">
        <v>1</v>
      </c>
      <c r="AF19" s="86">
        <v>0</v>
      </c>
      <c r="AG19" s="86">
        <v>0</v>
      </c>
      <c r="AH19" s="86">
        <v>0</v>
      </c>
      <c r="AI19" s="86">
        <v>0</v>
      </c>
      <c r="AJ19" s="86">
        <v>0</v>
      </c>
    </row>
    <row r="20" spans="1:36" ht="15.75">
      <c r="A20" s="120">
        <v>10</v>
      </c>
      <c r="B20" s="121" t="s">
        <v>115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1</v>
      </c>
      <c r="I20" s="122">
        <v>2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0</v>
      </c>
      <c r="Q20" s="87">
        <f t="shared" si="0"/>
        <v>3</v>
      </c>
      <c r="R20" s="86">
        <v>0</v>
      </c>
      <c r="S20" s="86">
        <v>0</v>
      </c>
      <c r="T20" s="86">
        <v>0</v>
      </c>
      <c r="U20" s="86">
        <v>3</v>
      </c>
      <c r="V20" s="86">
        <v>3</v>
      </c>
      <c r="W20" s="86"/>
      <c r="X20" s="86">
        <v>2</v>
      </c>
      <c r="Y20" s="86">
        <v>2</v>
      </c>
      <c r="Z20" s="86">
        <v>3</v>
      </c>
      <c r="AA20" s="86">
        <v>6</v>
      </c>
      <c r="AB20" s="86">
        <v>0</v>
      </c>
      <c r="AC20" s="88">
        <v>0</v>
      </c>
      <c r="AD20" s="86">
        <v>2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 ht="15.75">
      <c r="A21" s="120">
        <v>11</v>
      </c>
      <c r="B21" s="121" t="s">
        <v>116</v>
      </c>
      <c r="C21" s="122">
        <v>1</v>
      </c>
      <c r="D21" s="122">
        <v>6</v>
      </c>
      <c r="E21" s="122">
        <v>0</v>
      </c>
      <c r="F21" s="122">
        <v>0</v>
      </c>
      <c r="G21" s="122">
        <v>2</v>
      </c>
      <c r="H21" s="122">
        <v>0</v>
      </c>
      <c r="I21" s="122">
        <v>0</v>
      </c>
      <c r="J21" s="122">
        <v>0</v>
      </c>
      <c r="K21" s="122">
        <v>3</v>
      </c>
      <c r="L21" s="122">
        <v>4</v>
      </c>
      <c r="M21" s="122">
        <v>1</v>
      </c>
      <c r="N21" s="122">
        <v>0</v>
      </c>
      <c r="O21" s="122">
        <v>2</v>
      </c>
      <c r="P21" s="122">
        <v>2</v>
      </c>
      <c r="Q21" s="87">
        <f t="shared" si="0"/>
        <v>21</v>
      </c>
      <c r="R21" s="86">
        <v>20</v>
      </c>
      <c r="S21" s="86">
        <v>1</v>
      </c>
      <c r="T21" s="86">
        <v>0</v>
      </c>
      <c r="U21" s="86">
        <v>0</v>
      </c>
      <c r="V21" s="86">
        <v>18</v>
      </c>
      <c r="W21" s="86">
        <v>3</v>
      </c>
      <c r="X21" s="86">
        <v>10</v>
      </c>
      <c r="Y21" s="86">
        <v>10</v>
      </c>
      <c r="Z21" s="86">
        <v>10</v>
      </c>
      <c r="AA21" s="86">
        <v>5</v>
      </c>
      <c r="AB21" s="86">
        <v>0</v>
      </c>
      <c r="AC21" s="88">
        <v>0</v>
      </c>
      <c r="AD21" s="86">
        <v>21</v>
      </c>
      <c r="AE21" s="86">
        <v>0</v>
      </c>
      <c r="AF21" s="86">
        <v>0</v>
      </c>
      <c r="AG21" s="86">
        <v>0</v>
      </c>
      <c r="AH21" s="86">
        <v>1</v>
      </c>
      <c r="AI21" s="86">
        <v>0</v>
      </c>
      <c r="AJ21" s="86">
        <v>0</v>
      </c>
    </row>
    <row r="22" spans="1:36" ht="15.75">
      <c r="A22" s="120">
        <v>12</v>
      </c>
      <c r="B22" s="121" t="s">
        <v>117</v>
      </c>
      <c r="C22" s="122">
        <v>1</v>
      </c>
      <c r="D22" s="122">
        <v>2</v>
      </c>
      <c r="E22" s="122">
        <v>0</v>
      </c>
      <c r="F22" s="122">
        <v>1</v>
      </c>
      <c r="G22" s="122">
        <v>1</v>
      </c>
      <c r="H22" s="122">
        <v>1</v>
      </c>
      <c r="I22" s="122">
        <v>1</v>
      </c>
      <c r="J22" s="122">
        <v>0</v>
      </c>
      <c r="K22" s="122">
        <v>1</v>
      </c>
      <c r="L22" s="122">
        <v>0</v>
      </c>
      <c r="M22" s="122">
        <v>0</v>
      </c>
      <c r="N22" s="122">
        <v>1</v>
      </c>
      <c r="O22" s="122">
        <v>0</v>
      </c>
      <c r="P22" s="122">
        <v>1</v>
      </c>
      <c r="Q22" s="87">
        <f t="shared" si="0"/>
        <v>10</v>
      </c>
      <c r="R22" s="86">
        <v>8</v>
      </c>
      <c r="S22" s="86">
        <v>0</v>
      </c>
      <c r="T22" s="86">
        <v>0</v>
      </c>
      <c r="U22" s="86">
        <v>2</v>
      </c>
      <c r="V22" s="86">
        <v>10</v>
      </c>
      <c r="W22" s="86">
        <v>0</v>
      </c>
      <c r="X22" s="86">
        <v>5</v>
      </c>
      <c r="Y22" s="86">
        <v>5</v>
      </c>
      <c r="Z22" s="86">
        <v>5</v>
      </c>
      <c r="AA22" s="86">
        <v>5</v>
      </c>
      <c r="AB22" s="86">
        <v>0</v>
      </c>
      <c r="AC22" s="88">
        <v>0</v>
      </c>
      <c r="AD22" s="86">
        <v>10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6">
        <v>0</v>
      </c>
    </row>
    <row r="23" spans="1:36" ht="15.75">
      <c r="A23" s="120">
        <v>13</v>
      </c>
      <c r="B23" s="121" t="s">
        <v>118</v>
      </c>
      <c r="C23" s="122">
        <v>0</v>
      </c>
      <c r="D23" s="122">
        <v>0</v>
      </c>
      <c r="E23" s="122">
        <v>0</v>
      </c>
      <c r="F23" s="122">
        <v>0</v>
      </c>
      <c r="G23" s="122">
        <v>0</v>
      </c>
      <c r="H23" s="122">
        <v>1</v>
      </c>
      <c r="I23" s="122">
        <v>0</v>
      </c>
      <c r="J23" s="122">
        <v>1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87">
        <f t="shared" si="0"/>
        <v>2</v>
      </c>
      <c r="R23" s="86">
        <v>0</v>
      </c>
      <c r="S23" s="86">
        <v>0</v>
      </c>
      <c r="T23" s="86">
        <v>2</v>
      </c>
      <c r="U23" s="86">
        <v>0</v>
      </c>
      <c r="V23" s="86">
        <v>2</v>
      </c>
      <c r="W23" s="86">
        <v>0</v>
      </c>
      <c r="X23" s="86">
        <v>0</v>
      </c>
      <c r="Y23" s="86">
        <v>0</v>
      </c>
      <c r="Z23" s="86">
        <v>0</v>
      </c>
      <c r="AA23" s="86">
        <v>0</v>
      </c>
      <c r="AB23" s="86">
        <v>2</v>
      </c>
      <c r="AC23" s="88">
        <v>0</v>
      </c>
      <c r="AD23" s="86">
        <v>2</v>
      </c>
      <c r="AE23" s="86">
        <v>0</v>
      </c>
      <c r="AF23" s="86">
        <v>0</v>
      </c>
      <c r="AG23" s="86">
        <v>0</v>
      </c>
      <c r="AH23" s="86">
        <v>1</v>
      </c>
      <c r="AI23" s="86">
        <v>1</v>
      </c>
      <c r="AJ23" s="86">
        <v>0</v>
      </c>
    </row>
    <row r="24" spans="1:36" ht="16.5">
      <c r="A24" s="154" t="s">
        <v>31</v>
      </c>
      <c r="B24" s="155"/>
      <c r="C24" s="123">
        <f>SUM(C11:C23)</f>
        <v>23</v>
      </c>
      <c r="D24" s="123">
        <f t="shared" ref="D24:M24" si="1">SUM(D11:D23)</f>
        <v>37</v>
      </c>
      <c r="E24" s="123">
        <f t="shared" si="1"/>
        <v>18</v>
      </c>
      <c r="F24" s="123">
        <f t="shared" si="1"/>
        <v>14</v>
      </c>
      <c r="G24" s="123">
        <f t="shared" si="1"/>
        <v>46</v>
      </c>
      <c r="H24" s="123">
        <f t="shared" si="1"/>
        <v>46</v>
      </c>
      <c r="I24" s="123">
        <f t="shared" si="1"/>
        <v>11</v>
      </c>
      <c r="J24" s="123">
        <f t="shared" si="1"/>
        <v>14</v>
      </c>
      <c r="K24" s="123">
        <f t="shared" si="1"/>
        <v>21</v>
      </c>
      <c r="L24" s="123">
        <f t="shared" si="1"/>
        <v>12</v>
      </c>
      <c r="M24" s="123">
        <f t="shared" si="1"/>
        <v>4</v>
      </c>
      <c r="N24" s="123">
        <f>SUM(N11:N23)</f>
        <v>55</v>
      </c>
      <c r="O24" s="123">
        <f t="shared" ref="O24:AJ24" si="2">SUM(O11:O23)</f>
        <v>46</v>
      </c>
      <c r="P24" s="123">
        <f t="shared" si="2"/>
        <v>26</v>
      </c>
      <c r="Q24" s="87">
        <f t="shared" si="0"/>
        <v>373</v>
      </c>
      <c r="R24" s="89">
        <f t="shared" si="2"/>
        <v>115</v>
      </c>
      <c r="S24" s="89">
        <f t="shared" si="2"/>
        <v>47</v>
      </c>
      <c r="T24" s="89">
        <f t="shared" si="2"/>
        <v>13</v>
      </c>
      <c r="U24" s="89">
        <f t="shared" si="2"/>
        <v>198</v>
      </c>
      <c r="V24" s="89">
        <f t="shared" si="2"/>
        <v>370</v>
      </c>
      <c r="W24" s="89">
        <f t="shared" si="2"/>
        <v>3</v>
      </c>
      <c r="X24" s="89">
        <f t="shared" si="2"/>
        <v>252</v>
      </c>
      <c r="Y24" s="89">
        <f t="shared" si="2"/>
        <v>252</v>
      </c>
      <c r="Z24" s="89">
        <f t="shared" si="2"/>
        <v>175</v>
      </c>
      <c r="AA24" s="89">
        <f t="shared" si="2"/>
        <v>154</v>
      </c>
      <c r="AB24" s="89">
        <f t="shared" si="2"/>
        <v>2</v>
      </c>
      <c r="AC24" s="90">
        <v>0</v>
      </c>
      <c r="AD24" s="89">
        <f t="shared" si="2"/>
        <v>356</v>
      </c>
      <c r="AE24" s="89">
        <f t="shared" si="2"/>
        <v>16</v>
      </c>
      <c r="AF24" s="89">
        <f t="shared" si="2"/>
        <v>0</v>
      </c>
      <c r="AG24" s="89">
        <f t="shared" si="2"/>
        <v>0</v>
      </c>
      <c r="AH24" s="89">
        <f t="shared" si="2"/>
        <v>8</v>
      </c>
      <c r="AI24" s="89">
        <f t="shared" si="2"/>
        <v>2</v>
      </c>
      <c r="AJ24" s="89">
        <f t="shared" si="2"/>
        <v>0</v>
      </c>
    </row>
    <row r="25" spans="1:36" ht="16.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</row>
  </sheetData>
  <mergeCells count="27">
    <mergeCell ref="AH7:AH9"/>
    <mergeCell ref="A24:B24"/>
    <mergeCell ref="V8:W8"/>
    <mergeCell ref="X8:Y8"/>
    <mergeCell ref="AD8:AD9"/>
    <mergeCell ref="AE8:AE9"/>
    <mergeCell ref="T8:U8"/>
    <mergeCell ref="AF8:AF9"/>
    <mergeCell ref="AG8:AG9"/>
    <mergeCell ref="AC7:AC9"/>
    <mergeCell ref="AD7:AG7"/>
    <mergeCell ref="A2:AJ2"/>
    <mergeCell ref="A4:B4"/>
    <mergeCell ref="A5:B5"/>
    <mergeCell ref="A7:A9"/>
    <mergeCell ref="B7:B9"/>
    <mergeCell ref="C7:P7"/>
    <mergeCell ref="Q7:Q9"/>
    <mergeCell ref="R7:U7"/>
    <mergeCell ref="V7:AA7"/>
    <mergeCell ref="AB7:AB9"/>
    <mergeCell ref="AI7:AI9"/>
    <mergeCell ref="AJ7:AJ9"/>
    <mergeCell ref="C8:I8"/>
    <mergeCell ref="J8:P8"/>
    <mergeCell ref="R8:R9"/>
    <mergeCell ref="S8:S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EA77-92EB-44F1-804F-47B788654CBF}">
  <dimension ref="A1:AJ23"/>
  <sheetViews>
    <sheetView workbookViewId="0">
      <selection sqref="A1:AJ23"/>
    </sheetView>
  </sheetViews>
  <sheetFormatPr defaultRowHeight="15"/>
  <cols>
    <col min="1" max="1" width="5.28515625" customWidth="1"/>
    <col min="2" max="2" width="17.42578125" customWidth="1"/>
    <col min="3" max="3" width="6.28515625" customWidth="1"/>
    <col min="4" max="4" width="6" customWidth="1"/>
    <col min="5" max="5" width="6.7109375" customWidth="1"/>
    <col min="6" max="6" width="5.7109375" customWidth="1"/>
    <col min="7" max="8" width="6.5703125" customWidth="1"/>
    <col min="9" max="9" width="6.140625" customWidth="1"/>
    <col min="10" max="10" width="6.42578125" customWidth="1"/>
    <col min="11" max="11" width="6.7109375" customWidth="1"/>
    <col min="12" max="12" width="6.42578125" customWidth="1"/>
    <col min="13" max="13" width="7" customWidth="1"/>
    <col min="14" max="15" width="6.5703125" customWidth="1"/>
    <col min="16" max="16" width="6.28515625" customWidth="1"/>
    <col min="17" max="17" width="8.42578125" customWidth="1"/>
    <col min="18" max="18" width="6.7109375" customWidth="1"/>
    <col min="19" max="19" width="7.28515625" customWidth="1"/>
    <col min="20" max="20" width="7.5703125" customWidth="1"/>
    <col min="21" max="21" width="6" bestFit="1" customWidth="1"/>
    <col min="22" max="22" width="7.5703125" customWidth="1"/>
    <col min="23" max="23" width="6.7109375" customWidth="1"/>
    <col min="24" max="24" width="7.140625" customWidth="1"/>
    <col min="25" max="25" width="8" customWidth="1"/>
    <col min="26" max="26" width="7.42578125" customWidth="1"/>
    <col min="28" max="28" width="7.42578125" customWidth="1"/>
    <col min="29" max="29" width="7.85546875" customWidth="1"/>
    <col min="30" max="30" width="8.140625" customWidth="1"/>
    <col min="31" max="32" width="7.85546875" customWidth="1"/>
    <col min="33" max="33" width="7.42578125" customWidth="1"/>
  </cols>
  <sheetData>
    <row r="1" spans="1:36" ht="20.25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</row>
    <row r="2" spans="1:36" ht="16.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</row>
    <row r="3" spans="1:36" ht="16.5">
      <c r="A3" s="140" t="s">
        <v>38</v>
      </c>
      <c r="B3" s="140"/>
      <c r="C3" s="72" t="s">
        <v>40</v>
      </c>
      <c r="D3" s="72" t="s">
        <v>104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</row>
    <row r="4" spans="1:36" ht="16.5">
      <c r="A4" s="140" t="s">
        <v>1</v>
      </c>
      <c r="B4" s="140"/>
      <c r="C4" s="72" t="s">
        <v>130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 t="s">
        <v>128</v>
      </c>
    </row>
    <row r="5" spans="1:36" ht="16.5">
      <c r="A5" s="73" t="s">
        <v>2</v>
      </c>
      <c r="B5" s="73"/>
      <c r="C5" s="72"/>
      <c r="D5" s="74">
        <v>2025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</row>
    <row r="6" spans="1:36">
      <c r="A6" s="148" t="s">
        <v>3</v>
      </c>
      <c r="B6" s="148" t="s">
        <v>106</v>
      </c>
      <c r="C6" s="151" t="s">
        <v>4</v>
      </c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3"/>
      <c r="Q6" s="142" t="s">
        <v>5</v>
      </c>
      <c r="R6" s="129" t="s">
        <v>32</v>
      </c>
      <c r="S6" s="130"/>
      <c r="T6" s="130"/>
      <c r="U6" s="131"/>
      <c r="V6" s="136" t="s">
        <v>6</v>
      </c>
      <c r="W6" s="137"/>
      <c r="X6" s="137"/>
      <c r="Y6" s="137"/>
      <c r="Z6" s="137"/>
      <c r="AA6" s="138"/>
      <c r="AB6" s="126" t="s">
        <v>7</v>
      </c>
      <c r="AC6" s="141" t="s">
        <v>8</v>
      </c>
      <c r="AD6" s="136" t="s">
        <v>9</v>
      </c>
      <c r="AE6" s="137"/>
      <c r="AF6" s="137"/>
      <c r="AG6" s="138"/>
      <c r="AH6" s="142" t="s">
        <v>10</v>
      </c>
      <c r="AI6" s="142" t="s">
        <v>11</v>
      </c>
      <c r="AJ6" s="145" t="s">
        <v>12</v>
      </c>
    </row>
    <row r="7" spans="1:36">
      <c r="A7" s="149"/>
      <c r="B7" s="149"/>
      <c r="C7" s="151" t="s">
        <v>13</v>
      </c>
      <c r="D7" s="152"/>
      <c r="E7" s="152"/>
      <c r="F7" s="152"/>
      <c r="G7" s="152"/>
      <c r="H7" s="152"/>
      <c r="I7" s="153"/>
      <c r="J7" s="151" t="s">
        <v>14</v>
      </c>
      <c r="K7" s="152"/>
      <c r="L7" s="152"/>
      <c r="M7" s="152"/>
      <c r="N7" s="152"/>
      <c r="O7" s="152"/>
      <c r="P7" s="153"/>
      <c r="Q7" s="144"/>
      <c r="R7" s="132" t="s">
        <v>35</v>
      </c>
      <c r="S7" s="132" t="s">
        <v>36</v>
      </c>
      <c r="T7" s="134" t="s">
        <v>37</v>
      </c>
      <c r="U7" s="135"/>
      <c r="V7" s="146" t="s">
        <v>15</v>
      </c>
      <c r="W7" s="147"/>
      <c r="X7" s="145" t="s">
        <v>16</v>
      </c>
      <c r="Y7" s="145"/>
      <c r="Z7" s="75" t="s">
        <v>17</v>
      </c>
      <c r="AA7" s="75" t="s">
        <v>18</v>
      </c>
      <c r="AB7" s="127"/>
      <c r="AC7" s="141"/>
      <c r="AD7" s="126" t="s">
        <v>19</v>
      </c>
      <c r="AE7" s="126" t="s">
        <v>20</v>
      </c>
      <c r="AF7" s="126" t="s">
        <v>21</v>
      </c>
      <c r="AG7" s="142" t="s">
        <v>22</v>
      </c>
      <c r="AH7" s="144"/>
      <c r="AI7" s="144"/>
      <c r="AJ7" s="145"/>
    </row>
    <row r="8" spans="1:36" ht="22.5">
      <c r="A8" s="150"/>
      <c r="B8" s="150"/>
      <c r="C8" s="114" t="s">
        <v>23</v>
      </c>
      <c r="D8" s="115" t="s">
        <v>24</v>
      </c>
      <c r="E8" s="116" t="s">
        <v>25</v>
      </c>
      <c r="F8" s="117" t="s">
        <v>26</v>
      </c>
      <c r="G8" s="117" t="s">
        <v>27</v>
      </c>
      <c r="H8" s="117" t="s">
        <v>28</v>
      </c>
      <c r="I8" s="114" t="s">
        <v>29</v>
      </c>
      <c r="J8" s="114" t="s">
        <v>23</v>
      </c>
      <c r="K8" s="115" t="s">
        <v>24</v>
      </c>
      <c r="L8" s="116" t="s">
        <v>25</v>
      </c>
      <c r="M8" s="117" t="s">
        <v>26</v>
      </c>
      <c r="N8" s="117" t="s">
        <v>27</v>
      </c>
      <c r="O8" s="117" t="s">
        <v>28</v>
      </c>
      <c r="P8" s="114" t="s">
        <v>29</v>
      </c>
      <c r="Q8" s="143"/>
      <c r="R8" s="133"/>
      <c r="S8" s="133"/>
      <c r="T8" s="79" t="s">
        <v>33</v>
      </c>
      <c r="U8" s="79" t="s">
        <v>34</v>
      </c>
      <c r="V8" s="80" t="s">
        <v>42</v>
      </c>
      <c r="W8" s="80" t="s">
        <v>41</v>
      </c>
      <c r="X8" s="75" t="s">
        <v>30</v>
      </c>
      <c r="Y8" s="75" t="s">
        <v>30</v>
      </c>
      <c r="Z8" s="75" t="s">
        <v>30</v>
      </c>
      <c r="AA8" s="75" t="s">
        <v>30</v>
      </c>
      <c r="AB8" s="128"/>
      <c r="AC8" s="141"/>
      <c r="AD8" s="128"/>
      <c r="AE8" s="128"/>
      <c r="AF8" s="128"/>
      <c r="AG8" s="143"/>
      <c r="AH8" s="143"/>
      <c r="AI8" s="143"/>
      <c r="AJ8" s="145"/>
    </row>
    <row r="9" spans="1:36">
      <c r="A9" s="118">
        <v>1</v>
      </c>
      <c r="B9" s="118">
        <v>2</v>
      </c>
      <c r="C9" s="119">
        <v>3</v>
      </c>
      <c r="D9" s="118">
        <v>4</v>
      </c>
      <c r="E9" s="118">
        <v>5</v>
      </c>
      <c r="F9" s="119">
        <v>6</v>
      </c>
      <c r="G9" s="118">
        <v>7</v>
      </c>
      <c r="H9" s="118">
        <v>8</v>
      </c>
      <c r="I9" s="119">
        <v>9</v>
      </c>
      <c r="J9" s="118">
        <v>10</v>
      </c>
      <c r="K9" s="118">
        <v>11</v>
      </c>
      <c r="L9" s="119">
        <v>12</v>
      </c>
      <c r="M9" s="118">
        <v>13</v>
      </c>
      <c r="N9" s="118">
        <v>14</v>
      </c>
      <c r="O9" s="119">
        <v>15</v>
      </c>
      <c r="P9" s="118">
        <v>16</v>
      </c>
      <c r="Q9" s="82">
        <v>17</v>
      </c>
      <c r="R9" s="83">
        <v>18</v>
      </c>
      <c r="S9" s="82">
        <v>19</v>
      </c>
      <c r="T9" s="82">
        <v>20</v>
      </c>
      <c r="U9" s="83">
        <v>21</v>
      </c>
      <c r="V9" s="82">
        <v>22</v>
      </c>
      <c r="W9" s="82">
        <v>23</v>
      </c>
      <c r="X9" s="83">
        <v>24</v>
      </c>
      <c r="Y9" s="82">
        <v>25</v>
      </c>
      <c r="Z9" s="82">
        <v>26</v>
      </c>
      <c r="AA9" s="83">
        <v>27</v>
      </c>
      <c r="AB9" s="82">
        <v>28</v>
      </c>
      <c r="AC9" s="82">
        <v>29</v>
      </c>
      <c r="AD9" s="83">
        <v>30</v>
      </c>
      <c r="AE9" s="82">
        <v>31</v>
      </c>
      <c r="AF9" s="82">
        <v>32</v>
      </c>
      <c r="AG9" s="83">
        <v>33</v>
      </c>
      <c r="AH9" s="82">
        <v>34</v>
      </c>
      <c r="AI9" s="82">
        <v>35</v>
      </c>
      <c r="AJ9" s="82">
        <v>36</v>
      </c>
    </row>
    <row r="10" spans="1:36" ht="15.75">
      <c r="A10" s="120">
        <v>1</v>
      </c>
      <c r="B10" s="121" t="s">
        <v>107</v>
      </c>
      <c r="C10" s="122">
        <v>3</v>
      </c>
      <c r="D10" s="122">
        <v>7</v>
      </c>
      <c r="E10" s="122">
        <v>2</v>
      </c>
      <c r="F10" s="122">
        <v>1</v>
      </c>
      <c r="G10" s="122">
        <v>9</v>
      </c>
      <c r="H10" s="122">
        <v>2</v>
      </c>
      <c r="I10" s="122">
        <v>2</v>
      </c>
      <c r="J10" s="122">
        <v>1</v>
      </c>
      <c r="K10" s="122">
        <v>0</v>
      </c>
      <c r="L10" s="122">
        <v>0</v>
      </c>
      <c r="M10" s="122">
        <v>0</v>
      </c>
      <c r="N10" s="122">
        <v>7</v>
      </c>
      <c r="O10" s="122">
        <v>9</v>
      </c>
      <c r="P10" s="122">
        <v>0</v>
      </c>
      <c r="Q10" s="87">
        <f>SUM(C10:P10)</f>
        <v>43</v>
      </c>
      <c r="R10" s="86">
        <v>0</v>
      </c>
      <c r="S10" s="86">
        <v>6</v>
      </c>
      <c r="T10" s="86">
        <v>4</v>
      </c>
      <c r="U10" s="86">
        <v>33</v>
      </c>
      <c r="V10" s="86">
        <v>43</v>
      </c>
      <c r="W10" s="86">
        <v>0</v>
      </c>
      <c r="X10" s="86">
        <v>36</v>
      </c>
      <c r="Y10" s="86">
        <v>36</v>
      </c>
      <c r="Z10" s="86">
        <v>39</v>
      </c>
      <c r="AA10" s="86">
        <v>27</v>
      </c>
      <c r="AB10" s="86"/>
      <c r="AC10" s="88">
        <v>0</v>
      </c>
      <c r="AD10" s="86">
        <v>40</v>
      </c>
      <c r="AE10" s="86">
        <v>3</v>
      </c>
      <c r="AF10" s="86">
        <v>0</v>
      </c>
      <c r="AG10" s="86">
        <v>0</v>
      </c>
      <c r="AH10" s="86">
        <v>2</v>
      </c>
      <c r="AI10" s="86">
        <v>1</v>
      </c>
      <c r="AJ10" s="86">
        <v>0</v>
      </c>
    </row>
    <row r="11" spans="1:36" ht="15.75">
      <c r="A11" s="120">
        <v>2</v>
      </c>
      <c r="B11" s="121" t="s">
        <v>108</v>
      </c>
      <c r="C11" s="122">
        <v>2</v>
      </c>
      <c r="D11" s="122">
        <v>1</v>
      </c>
      <c r="E11" s="122">
        <v>1</v>
      </c>
      <c r="F11" s="122">
        <v>0</v>
      </c>
      <c r="G11" s="122">
        <v>4</v>
      </c>
      <c r="H11" s="122">
        <v>4</v>
      </c>
      <c r="I11" s="122">
        <v>1</v>
      </c>
      <c r="J11" s="122">
        <v>0</v>
      </c>
      <c r="K11" s="122">
        <v>0</v>
      </c>
      <c r="L11" s="122">
        <v>0</v>
      </c>
      <c r="M11" s="122">
        <v>0</v>
      </c>
      <c r="N11" s="122">
        <v>3</v>
      </c>
      <c r="O11" s="122">
        <v>2</v>
      </c>
      <c r="P11" s="122">
        <v>2</v>
      </c>
      <c r="Q11" s="87">
        <f t="shared" ref="Q11:Q23" si="0">SUM(C11:P11)</f>
        <v>20</v>
      </c>
      <c r="R11" s="86">
        <v>0</v>
      </c>
      <c r="S11" s="86">
        <v>20</v>
      </c>
      <c r="T11" s="86">
        <v>2</v>
      </c>
      <c r="U11" s="86">
        <v>18</v>
      </c>
      <c r="V11" s="86">
        <v>20</v>
      </c>
      <c r="W11" s="86">
        <v>0</v>
      </c>
      <c r="X11" s="86">
        <v>9</v>
      </c>
      <c r="Y11" s="86">
        <v>9</v>
      </c>
      <c r="Z11" s="86">
        <v>9</v>
      </c>
      <c r="AA11" s="86">
        <v>7</v>
      </c>
      <c r="AB11" s="86">
        <v>0</v>
      </c>
      <c r="AC11" s="88">
        <v>0</v>
      </c>
      <c r="AD11" s="86">
        <v>19</v>
      </c>
      <c r="AE11" s="86">
        <v>1</v>
      </c>
      <c r="AF11" s="86">
        <v>0</v>
      </c>
      <c r="AG11" s="86">
        <v>0</v>
      </c>
      <c r="AH11" s="86">
        <v>0</v>
      </c>
      <c r="AI11" s="86">
        <v>0</v>
      </c>
      <c r="AJ11" s="86">
        <v>0</v>
      </c>
    </row>
    <row r="12" spans="1:36" ht="15.75">
      <c r="A12" s="120">
        <v>3</v>
      </c>
      <c r="B12" s="121" t="s">
        <v>119</v>
      </c>
      <c r="C12" s="122">
        <v>0</v>
      </c>
      <c r="D12" s="122">
        <v>3</v>
      </c>
      <c r="E12" s="122">
        <v>0</v>
      </c>
      <c r="F12" s="122">
        <v>0</v>
      </c>
      <c r="G12" s="122">
        <v>4</v>
      </c>
      <c r="H12" s="122">
        <v>0</v>
      </c>
      <c r="I12" s="122">
        <v>3</v>
      </c>
      <c r="J12" s="122">
        <v>1</v>
      </c>
      <c r="K12" s="122">
        <v>1</v>
      </c>
      <c r="L12" s="122">
        <v>2</v>
      </c>
      <c r="M12" s="122">
        <v>0</v>
      </c>
      <c r="N12" s="122">
        <v>3</v>
      </c>
      <c r="O12" s="122">
        <v>5</v>
      </c>
      <c r="P12" s="122">
        <v>1</v>
      </c>
      <c r="Q12" s="87">
        <f t="shared" si="0"/>
        <v>23</v>
      </c>
      <c r="R12" s="86">
        <v>1</v>
      </c>
      <c r="S12" s="86">
        <v>0</v>
      </c>
      <c r="T12" s="86">
        <v>0</v>
      </c>
      <c r="U12" s="86">
        <v>23</v>
      </c>
      <c r="V12" s="86">
        <v>23</v>
      </c>
      <c r="W12" s="86">
        <v>0</v>
      </c>
      <c r="X12" s="86">
        <v>16</v>
      </c>
      <c r="Y12" s="86">
        <v>16</v>
      </c>
      <c r="Z12" s="86">
        <v>21</v>
      </c>
      <c r="AA12" s="86">
        <v>16</v>
      </c>
      <c r="AB12" s="86">
        <v>0</v>
      </c>
      <c r="AC12" s="88">
        <v>0</v>
      </c>
      <c r="AD12" s="86">
        <v>19</v>
      </c>
      <c r="AE12" s="86">
        <v>5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</row>
    <row r="13" spans="1:36" ht="15.75">
      <c r="A13" s="120">
        <v>4</v>
      </c>
      <c r="B13" s="121" t="s">
        <v>109</v>
      </c>
      <c r="C13" s="122">
        <v>2</v>
      </c>
      <c r="D13" s="122">
        <v>8</v>
      </c>
      <c r="E13" s="122">
        <v>4</v>
      </c>
      <c r="F13" s="122">
        <v>3</v>
      </c>
      <c r="G13" s="122">
        <v>3</v>
      </c>
      <c r="H13" s="122">
        <v>4</v>
      </c>
      <c r="I13" s="122">
        <v>1</v>
      </c>
      <c r="J13" s="122">
        <v>3</v>
      </c>
      <c r="K13" s="122">
        <v>0</v>
      </c>
      <c r="L13" s="122">
        <v>0</v>
      </c>
      <c r="M13" s="122">
        <v>2</v>
      </c>
      <c r="N13" s="122">
        <v>2</v>
      </c>
      <c r="O13" s="122">
        <v>3</v>
      </c>
      <c r="P13" s="122">
        <v>4</v>
      </c>
      <c r="Q13" s="87">
        <f t="shared" si="0"/>
        <v>39</v>
      </c>
      <c r="R13" s="86">
        <v>0</v>
      </c>
      <c r="S13" s="86">
        <v>0</v>
      </c>
      <c r="T13" s="86">
        <v>3</v>
      </c>
      <c r="U13" s="86">
        <v>36</v>
      </c>
      <c r="V13" s="86">
        <v>39</v>
      </c>
      <c r="W13" s="86">
        <v>0</v>
      </c>
      <c r="X13" s="86">
        <v>18</v>
      </c>
      <c r="Y13" s="86">
        <v>18</v>
      </c>
      <c r="Z13" s="86">
        <v>9</v>
      </c>
      <c r="AA13" s="86">
        <v>17</v>
      </c>
      <c r="AB13" s="86">
        <v>0</v>
      </c>
      <c r="AC13" s="88">
        <v>0</v>
      </c>
      <c r="AD13" s="86">
        <v>39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6">
        <v>0</v>
      </c>
    </row>
    <row r="14" spans="1:36" ht="15.75">
      <c r="A14" s="120">
        <v>5</v>
      </c>
      <c r="B14" s="121" t="s">
        <v>110</v>
      </c>
      <c r="C14" s="122">
        <v>4</v>
      </c>
      <c r="D14" s="122">
        <v>3</v>
      </c>
      <c r="E14" s="122">
        <v>3</v>
      </c>
      <c r="F14" s="122">
        <v>3</v>
      </c>
      <c r="G14" s="122">
        <v>4</v>
      </c>
      <c r="H14" s="122">
        <v>8</v>
      </c>
      <c r="I14" s="122">
        <v>3</v>
      </c>
      <c r="J14" s="122">
        <v>0</v>
      </c>
      <c r="K14" s="122">
        <v>1</v>
      </c>
      <c r="L14" s="122">
        <v>4</v>
      </c>
      <c r="M14" s="122">
        <v>0</v>
      </c>
      <c r="N14" s="122">
        <v>6</v>
      </c>
      <c r="O14" s="122">
        <v>8</v>
      </c>
      <c r="P14" s="122">
        <v>1</v>
      </c>
      <c r="Q14" s="87">
        <f t="shared" si="0"/>
        <v>48</v>
      </c>
      <c r="R14" s="86">
        <v>31</v>
      </c>
      <c r="S14" s="86">
        <v>16</v>
      </c>
      <c r="T14" s="86">
        <v>1</v>
      </c>
      <c r="U14" s="86">
        <v>0</v>
      </c>
      <c r="V14" s="86">
        <v>48</v>
      </c>
      <c r="W14" s="86">
        <v>0</v>
      </c>
      <c r="X14" s="86">
        <v>44</v>
      </c>
      <c r="Y14" s="86">
        <v>44</v>
      </c>
      <c r="Z14" s="86">
        <v>20</v>
      </c>
      <c r="AA14" s="86">
        <v>6</v>
      </c>
      <c r="AB14" s="86">
        <v>0</v>
      </c>
      <c r="AC14" s="88">
        <v>0</v>
      </c>
      <c r="AD14" s="86">
        <v>41</v>
      </c>
      <c r="AE14" s="86">
        <v>7</v>
      </c>
      <c r="AF14" s="86">
        <v>0</v>
      </c>
      <c r="AG14" s="86">
        <v>0</v>
      </c>
      <c r="AH14" s="86">
        <v>0</v>
      </c>
      <c r="AI14" s="86">
        <v>0</v>
      </c>
      <c r="AJ14" s="86">
        <v>0</v>
      </c>
    </row>
    <row r="15" spans="1:36" ht="15.75">
      <c r="A15" s="120">
        <v>6</v>
      </c>
      <c r="B15" s="121" t="s">
        <v>111</v>
      </c>
      <c r="C15" s="122">
        <v>1</v>
      </c>
      <c r="D15" s="122">
        <v>0</v>
      </c>
      <c r="E15" s="122">
        <v>0</v>
      </c>
      <c r="F15" s="122">
        <v>0</v>
      </c>
      <c r="G15" s="122">
        <v>2</v>
      </c>
      <c r="H15" s="122">
        <v>5</v>
      </c>
      <c r="I15" s="122">
        <v>2</v>
      </c>
      <c r="J15" s="122">
        <v>1</v>
      </c>
      <c r="K15" s="122">
        <v>0</v>
      </c>
      <c r="L15" s="122">
        <v>0</v>
      </c>
      <c r="M15" s="122">
        <v>0</v>
      </c>
      <c r="N15" s="122">
        <v>2</v>
      </c>
      <c r="O15" s="122">
        <v>1</v>
      </c>
      <c r="P15" s="122">
        <v>0</v>
      </c>
      <c r="Q15" s="87">
        <f t="shared" si="0"/>
        <v>14</v>
      </c>
      <c r="R15" s="86">
        <v>0</v>
      </c>
      <c r="S15" s="86">
        <v>10</v>
      </c>
      <c r="T15" s="86">
        <v>4</v>
      </c>
      <c r="U15" s="86">
        <v>0</v>
      </c>
      <c r="V15" s="86">
        <v>14</v>
      </c>
      <c r="W15" s="86">
        <v>0</v>
      </c>
      <c r="X15" s="86">
        <v>8</v>
      </c>
      <c r="Y15" s="86">
        <v>8</v>
      </c>
      <c r="Z15" s="86">
        <v>8</v>
      </c>
      <c r="AA15" s="86">
        <v>0</v>
      </c>
      <c r="AB15" s="86">
        <v>0</v>
      </c>
      <c r="AC15" s="88">
        <v>0</v>
      </c>
      <c r="AD15" s="86">
        <v>12</v>
      </c>
      <c r="AE15" s="86">
        <v>2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ht="15.75">
      <c r="A16" s="120">
        <v>7</v>
      </c>
      <c r="B16" s="121" t="s">
        <v>112</v>
      </c>
      <c r="C16" s="122">
        <v>2</v>
      </c>
      <c r="D16" s="122">
        <v>6</v>
      </c>
      <c r="E16" s="122">
        <v>8</v>
      </c>
      <c r="F16" s="122">
        <v>0</v>
      </c>
      <c r="G16" s="122">
        <v>0</v>
      </c>
      <c r="H16" s="122">
        <v>12</v>
      </c>
      <c r="I16" s="122">
        <v>3</v>
      </c>
      <c r="J16" s="122">
        <v>4</v>
      </c>
      <c r="K16" s="122">
        <v>2</v>
      </c>
      <c r="L16" s="122">
        <v>8</v>
      </c>
      <c r="M16" s="122">
        <v>3</v>
      </c>
      <c r="N16" s="122">
        <v>8</v>
      </c>
      <c r="O16" s="122">
        <v>5</v>
      </c>
      <c r="P16" s="122">
        <v>8</v>
      </c>
      <c r="Q16" s="87">
        <f>P16+O16+N16+M16+L16+K16+J16+I16+H16+G16+F16+E16+D16+C16</f>
        <v>69</v>
      </c>
      <c r="R16" s="86">
        <v>0</v>
      </c>
      <c r="S16" s="86">
        <v>0</v>
      </c>
      <c r="T16" s="86">
        <v>1</v>
      </c>
      <c r="U16" s="86">
        <v>68</v>
      </c>
      <c r="V16" s="86">
        <v>69</v>
      </c>
      <c r="W16" s="86">
        <v>0</v>
      </c>
      <c r="X16" s="86">
        <v>22</v>
      </c>
      <c r="Y16" s="86">
        <v>22</v>
      </c>
      <c r="Z16" s="86">
        <v>25</v>
      </c>
      <c r="AA16" s="86">
        <v>22</v>
      </c>
      <c r="AB16" s="86">
        <v>0</v>
      </c>
      <c r="AC16" s="88">
        <v>0</v>
      </c>
      <c r="AD16" s="86">
        <v>69</v>
      </c>
      <c r="AE16" s="86">
        <v>0</v>
      </c>
      <c r="AF16" s="86">
        <v>0</v>
      </c>
      <c r="AG16" s="86">
        <v>0</v>
      </c>
      <c r="AH16" s="86">
        <v>0</v>
      </c>
      <c r="AI16" s="86">
        <v>0</v>
      </c>
      <c r="AJ16" s="86">
        <v>0</v>
      </c>
    </row>
    <row r="17" spans="1:36" ht="15.75">
      <c r="A17" s="120">
        <v>8</v>
      </c>
      <c r="B17" s="121" t="s">
        <v>113</v>
      </c>
      <c r="C17" s="122">
        <v>0</v>
      </c>
      <c r="D17" s="122">
        <v>0</v>
      </c>
      <c r="E17" s="122">
        <v>1</v>
      </c>
      <c r="F17" s="122">
        <v>0</v>
      </c>
      <c r="G17" s="122">
        <v>3</v>
      </c>
      <c r="H17" s="122">
        <v>4</v>
      </c>
      <c r="I17" s="122">
        <v>0</v>
      </c>
      <c r="J17" s="122">
        <v>1</v>
      </c>
      <c r="K17" s="122">
        <v>0</v>
      </c>
      <c r="L17" s="122">
        <v>0</v>
      </c>
      <c r="M17" s="122">
        <v>0</v>
      </c>
      <c r="N17" s="122">
        <v>5</v>
      </c>
      <c r="O17" s="122">
        <v>2</v>
      </c>
      <c r="P17" s="122">
        <v>1</v>
      </c>
      <c r="Q17" s="87">
        <f t="shared" si="0"/>
        <v>17</v>
      </c>
      <c r="R17" s="86">
        <v>1</v>
      </c>
      <c r="S17" s="86">
        <v>9</v>
      </c>
      <c r="T17" s="86">
        <v>0</v>
      </c>
      <c r="U17" s="86">
        <v>8</v>
      </c>
      <c r="V17" s="86">
        <v>17</v>
      </c>
      <c r="W17" s="86">
        <v>0</v>
      </c>
      <c r="X17" s="86">
        <v>8</v>
      </c>
      <c r="Y17" s="86">
        <v>8</v>
      </c>
      <c r="Z17" s="86">
        <v>6</v>
      </c>
      <c r="AA17" s="86">
        <v>11</v>
      </c>
      <c r="AB17" s="86">
        <v>0</v>
      </c>
      <c r="AC17" s="88">
        <v>0</v>
      </c>
      <c r="AD17" s="86">
        <v>17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6">
        <v>0</v>
      </c>
    </row>
    <row r="18" spans="1:36" ht="15.75">
      <c r="A18" s="120">
        <v>9</v>
      </c>
      <c r="B18" s="121" t="s">
        <v>114</v>
      </c>
      <c r="C18" s="122">
        <v>1</v>
      </c>
      <c r="D18" s="122">
        <v>1</v>
      </c>
      <c r="E18" s="122">
        <v>2</v>
      </c>
      <c r="F18" s="122">
        <v>1</v>
      </c>
      <c r="G18" s="122">
        <v>5</v>
      </c>
      <c r="H18" s="122">
        <v>1</v>
      </c>
      <c r="I18" s="122">
        <v>0</v>
      </c>
      <c r="J18" s="122">
        <v>2</v>
      </c>
      <c r="K18" s="122">
        <v>0</v>
      </c>
      <c r="L18" s="122">
        <v>1</v>
      </c>
      <c r="M18" s="122">
        <v>0</v>
      </c>
      <c r="N18" s="122">
        <v>2</v>
      </c>
      <c r="O18" s="122">
        <v>2</v>
      </c>
      <c r="P18" s="122">
        <v>1</v>
      </c>
      <c r="Q18" s="87">
        <f t="shared" si="0"/>
        <v>19</v>
      </c>
      <c r="R18" s="86">
        <v>0</v>
      </c>
      <c r="S18" s="86">
        <v>0</v>
      </c>
      <c r="T18" s="86">
        <v>3</v>
      </c>
      <c r="U18" s="86">
        <v>16</v>
      </c>
      <c r="V18" s="86">
        <v>19</v>
      </c>
      <c r="W18" s="86">
        <v>0</v>
      </c>
      <c r="X18" s="86">
        <v>4</v>
      </c>
      <c r="Y18" s="86">
        <v>4</v>
      </c>
      <c r="Z18" s="86">
        <v>3</v>
      </c>
      <c r="AA18" s="86">
        <v>1</v>
      </c>
      <c r="AB18" s="86">
        <v>0</v>
      </c>
      <c r="AC18" s="88">
        <v>0</v>
      </c>
      <c r="AD18" s="86">
        <v>18</v>
      </c>
      <c r="AE18" s="86">
        <v>1</v>
      </c>
      <c r="AF18" s="86">
        <v>0</v>
      </c>
      <c r="AG18" s="86">
        <v>0</v>
      </c>
      <c r="AH18" s="86">
        <v>0</v>
      </c>
      <c r="AI18" s="86">
        <v>0</v>
      </c>
      <c r="AJ18" s="86">
        <v>0</v>
      </c>
    </row>
    <row r="19" spans="1:36" ht="15.75">
      <c r="A19" s="120">
        <v>10</v>
      </c>
      <c r="B19" s="121" t="s">
        <v>115</v>
      </c>
      <c r="C19" s="122">
        <v>0</v>
      </c>
      <c r="D19" s="122">
        <v>0</v>
      </c>
      <c r="E19" s="122">
        <v>0</v>
      </c>
      <c r="F19" s="122">
        <v>0</v>
      </c>
      <c r="G19" s="122">
        <v>1</v>
      </c>
      <c r="H19" s="122">
        <v>2</v>
      </c>
      <c r="I19" s="122">
        <v>0</v>
      </c>
      <c r="J19" s="122">
        <v>0</v>
      </c>
      <c r="K19" s="122">
        <v>0</v>
      </c>
      <c r="L19" s="122">
        <v>1</v>
      </c>
      <c r="M19" s="122">
        <v>1</v>
      </c>
      <c r="N19" s="122">
        <v>3</v>
      </c>
      <c r="O19" s="122">
        <v>0</v>
      </c>
      <c r="P19" s="122">
        <v>0</v>
      </c>
      <c r="Q19" s="87">
        <f t="shared" si="0"/>
        <v>8</v>
      </c>
      <c r="R19" s="86">
        <v>1</v>
      </c>
      <c r="S19" s="86">
        <v>0</v>
      </c>
      <c r="T19" s="86">
        <v>0</v>
      </c>
      <c r="U19" s="86">
        <v>7</v>
      </c>
      <c r="V19" s="86">
        <v>8</v>
      </c>
      <c r="W19" s="86">
        <v>0</v>
      </c>
      <c r="X19" s="86">
        <v>5</v>
      </c>
      <c r="Y19" s="86">
        <v>5</v>
      </c>
      <c r="Z19" s="86">
        <v>4</v>
      </c>
      <c r="AA19" s="86">
        <v>3</v>
      </c>
      <c r="AB19" s="86">
        <v>0</v>
      </c>
      <c r="AC19" s="88">
        <v>0</v>
      </c>
      <c r="AD19" s="86">
        <v>8</v>
      </c>
      <c r="AE19" s="86">
        <v>0</v>
      </c>
      <c r="AF19" s="86">
        <v>0</v>
      </c>
      <c r="AG19" s="86">
        <v>0</v>
      </c>
      <c r="AH19" s="86">
        <v>0</v>
      </c>
      <c r="AI19" s="86">
        <v>0</v>
      </c>
      <c r="AJ19" s="86">
        <v>0</v>
      </c>
    </row>
    <row r="20" spans="1:36" ht="15.75">
      <c r="A20" s="120">
        <v>11</v>
      </c>
      <c r="B20" s="121" t="s">
        <v>116</v>
      </c>
      <c r="C20" s="122">
        <v>1</v>
      </c>
      <c r="D20" s="122">
        <v>1</v>
      </c>
      <c r="E20" s="122">
        <v>0</v>
      </c>
      <c r="F20" s="122">
        <v>0</v>
      </c>
      <c r="G20" s="122">
        <v>2</v>
      </c>
      <c r="H20" s="122">
        <v>2</v>
      </c>
      <c r="I20" s="122">
        <v>0</v>
      </c>
      <c r="J20" s="122">
        <v>0</v>
      </c>
      <c r="K20" s="122">
        <v>0</v>
      </c>
      <c r="L20" s="122">
        <v>1</v>
      </c>
      <c r="M20" s="122">
        <v>0</v>
      </c>
      <c r="N20" s="122">
        <v>3</v>
      </c>
      <c r="O20" s="122">
        <v>1</v>
      </c>
      <c r="P20" s="122">
        <v>2</v>
      </c>
      <c r="Q20" s="87">
        <f t="shared" si="0"/>
        <v>13</v>
      </c>
      <c r="R20" s="86">
        <v>13</v>
      </c>
      <c r="S20" s="86">
        <v>0</v>
      </c>
      <c r="T20" s="86">
        <v>0</v>
      </c>
      <c r="U20" s="86">
        <v>0</v>
      </c>
      <c r="V20" s="86">
        <v>13</v>
      </c>
      <c r="W20" s="86">
        <v>0</v>
      </c>
      <c r="X20" s="86">
        <v>6</v>
      </c>
      <c r="Y20" s="86">
        <v>6</v>
      </c>
      <c r="Z20" s="86">
        <v>5</v>
      </c>
      <c r="AA20" s="86">
        <v>6</v>
      </c>
      <c r="AB20" s="86">
        <v>0</v>
      </c>
      <c r="AC20" s="88">
        <v>0</v>
      </c>
      <c r="AD20" s="86">
        <v>10</v>
      </c>
      <c r="AE20" s="86">
        <v>3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 ht="15.75">
      <c r="A21" s="120">
        <v>12</v>
      </c>
      <c r="B21" s="121" t="s">
        <v>117</v>
      </c>
      <c r="C21" s="122">
        <v>0</v>
      </c>
      <c r="D21" s="122">
        <v>2</v>
      </c>
      <c r="E21" s="122">
        <v>0</v>
      </c>
      <c r="F21" s="122">
        <v>1</v>
      </c>
      <c r="G21" s="122">
        <v>1</v>
      </c>
      <c r="H21" s="122">
        <v>1</v>
      </c>
      <c r="I21" s="122">
        <v>1</v>
      </c>
      <c r="J21" s="122">
        <v>0</v>
      </c>
      <c r="K21" s="122">
        <v>1</v>
      </c>
      <c r="L21" s="122">
        <v>0</v>
      </c>
      <c r="M21" s="122">
        <v>0</v>
      </c>
      <c r="N21" s="122">
        <v>1</v>
      </c>
      <c r="O21" s="122">
        <v>0</v>
      </c>
      <c r="P21" s="122">
        <v>0</v>
      </c>
      <c r="Q21" s="87">
        <f t="shared" si="0"/>
        <v>8</v>
      </c>
      <c r="R21" s="86">
        <v>7</v>
      </c>
      <c r="S21" s="86">
        <v>0</v>
      </c>
      <c r="T21" s="86">
        <v>0</v>
      </c>
      <c r="U21" s="86">
        <v>1</v>
      </c>
      <c r="V21" s="86">
        <v>8</v>
      </c>
      <c r="W21" s="86">
        <v>0</v>
      </c>
      <c r="X21" s="86">
        <v>5</v>
      </c>
      <c r="Y21" s="86">
        <v>5</v>
      </c>
      <c r="Z21" s="86">
        <v>5</v>
      </c>
      <c r="AA21" s="86">
        <v>5</v>
      </c>
      <c r="AB21" s="86">
        <v>0</v>
      </c>
      <c r="AC21" s="88">
        <v>0</v>
      </c>
      <c r="AD21" s="86">
        <v>8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 ht="15.75">
      <c r="A22" s="120">
        <v>13</v>
      </c>
      <c r="B22" s="121" t="s">
        <v>118</v>
      </c>
      <c r="C22" s="122">
        <v>0</v>
      </c>
      <c r="D22" s="122">
        <v>1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122">
        <v>1</v>
      </c>
      <c r="P22" s="122">
        <v>0</v>
      </c>
      <c r="Q22" s="87">
        <f t="shared" si="0"/>
        <v>2</v>
      </c>
      <c r="R22" s="86">
        <v>0</v>
      </c>
      <c r="S22" s="86">
        <v>0</v>
      </c>
      <c r="T22" s="86">
        <v>2</v>
      </c>
      <c r="U22" s="86"/>
      <c r="V22" s="86">
        <v>2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86">
        <v>0</v>
      </c>
      <c r="AC22" s="88">
        <v>0</v>
      </c>
      <c r="AD22" s="86">
        <v>2</v>
      </c>
      <c r="AE22" s="86">
        <v>0</v>
      </c>
      <c r="AF22" s="86">
        <v>0</v>
      </c>
      <c r="AG22" s="86">
        <v>0</v>
      </c>
      <c r="AH22" s="86">
        <v>2</v>
      </c>
      <c r="AI22" s="86">
        <v>2</v>
      </c>
      <c r="AJ22" s="86">
        <v>0</v>
      </c>
    </row>
    <row r="23" spans="1:36" ht="16.5">
      <c r="A23" s="154" t="s">
        <v>31</v>
      </c>
      <c r="B23" s="155"/>
      <c r="C23" s="123">
        <f>SUM(C10:C22)</f>
        <v>16</v>
      </c>
      <c r="D23" s="123">
        <f t="shared" ref="D23:M23" si="1">SUM(D10:D22)</f>
        <v>33</v>
      </c>
      <c r="E23" s="123">
        <f t="shared" si="1"/>
        <v>21</v>
      </c>
      <c r="F23" s="123">
        <f t="shared" si="1"/>
        <v>9</v>
      </c>
      <c r="G23" s="123">
        <f t="shared" si="1"/>
        <v>38</v>
      </c>
      <c r="H23" s="123">
        <f t="shared" si="1"/>
        <v>45</v>
      </c>
      <c r="I23" s="123">
        <f t="shared" si="1"/>
        <v>16</v>
      </c>
      <c r="J23" s="123">
        <f t="shared" si="1"/>
        <v>13</v>
      </c>
      <c r="K23" s="123">
        <f t="shared" si="1"/>
        <v>5</v>
      </c>
      <c r="L23" s="123">
        <f t="shared" si="1"/>
        <v>17</v>
      </c>
      <c r="M23" s="123">
        <f t="shared" si="1"/>
        <v>6</v>
      </c>
      <c r="N23" s="123">
        <f>SUM(N10:N22)</f>
        <v>45</v>
      </c>
      <c r="O23" s="123">
        <f t="shared" ref="O23:AJ23" si="2">SUM(O10:O22)</f>
        <v>39</v>
      </c>
      <c r="P23" s="123">
        <f t="shared" si="2"/>
        <v>20</v>
      </c>
      <c r="Q23" s="87">
        <f t="shared" si="0"/>
        <v>323</v>
      </c>
      <c r="R23" s="89">
        <f t="shared" si="2"/>
        <v>54</v>
      </c>
      <c r="S23" s="89">
        <f t="shared" si="2"/>
        <v>61</v>
      </c>
      <c r="T23" s="89">
        <f t="shared" si="2"/>
        <v>20</v>
      </c>
      <c r="U23" s="89">
        <f t="shared" si="2"/>
        <v>210</v>
      </c>
      <c r="V23" s="89">
        <f t="shared" si="2"/>
        <v>323</v>
      </c>
      <c r="W23" s="89">
        <f t="shared" si="2"/>
        <v>0</v>
      </c>
      <c r="X23" s="89">
        <f t="shared" si="2"/>
        <v>181</v>
      </c>
      <c r="Y23" s="89">
        <f t="shared" si="2"/>
        <v>181</v>
      </c>
      <c r="Z23" s="89">
        <f t="shared" si="2"/>
        <v>154</v>
      </c>
      <c r="AA23" s="89">
        <f t="shared" si="2"/>
        <v>121</v>
      </c>
      <c r="AB23" s="89">
        <f t="shared" si="2"/>
        <v>0</v>
      </c>
      <c r="AC23" s="90">
        <v>0</v>
      </c>
      <c r="AD23" s="89">
        <f t="shared" si="2"/>
        <v>302</v>
      </c>
      <c r="AE23" s="89">
        <f t="shared" si="2"/>
        <v>22</v>
      </c>
      <c r="AF23" s="89">
        <f t="shared" si="2"/>
        <v>0</v>
      </c>
      <c r="AG23" s="89">
        <f t="shared" si="2"/>
        <v>0</v>
      </c>
      <c r="AH23" s="89">
        <f t="shared" si="2"/>
        <v>4</v>
      </c>
      <c r="AI23" s="89">
        <f t="shared" si="2"/>
        <v>3</v>
      </c>
      <c r="AJ23" s="89">
        <f t="shared" si="2"/>
        <v>0</v>
      </c>
    </row>
  </sheetData>
  <mergeCells count="27">
    <mergeCell ref="AH6:AH8"/>
    <mergeCell ref="A23:B23"/>
    <mergeCell ref="V7:W7"/>
    <mergeCell ref="X7:Y7"/>
    <mergeCell ref="AD7:AD8"/>
    <mergeCell ref="AE7:AE8"/>
    <mergeCell ref="T7:U7"/>
    <mergeCell ref="AF7:AF8"/>
    <mergeCell ref="AG7:AG8"/>
    <mergeCell ref="AC6:AC8"/>
    <mergeCell ref="AD6:AG6"/>
    <mergeCell ref="A1:AJ1"/>
    <mergeCell ref="A3:B3"/>
    <mergeCell ref="A4:B4"/>
    <mergeCell ref="A6:A8"/>
    <mergeCell ref="B6:B8"/>
    <mergeCell ref="C6:P6"/>
    <mergeCell ref="Q6:Q8"/>
    <mergeCell ref="R6:U6"/>
    <mergeCell ref="V6:AA6"/>
    <mergeCell ref="AB6:AB8"/>
    <mergeCell ref="AI6:AI8"/>
    <mergeCell ref="AJ6:AJ8"/>
    <mergeCell ref="C7:I7"/>
    <mergeCell ref="J7:P7"/>
    <mergeCell ref="R7:R8"/>
    <mergeCell ref="S7:S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D472-A0AA-466D-9602-7625D80B9C1B}">
  <dimension ref="A1:AJ23"/>
  <sheetViews>
    <sheetView tabSelected="1" topLeftCell="G1" workbookViewId="0">
      <selection activeCell="K4" sqref="K4"/>
    </sheetView>
  </sheetViews>
  <sheetFormatPr defaultRowHeight="15"/>
  <cols>
    <col min="1" max="1" width="5.140625" customWidth="1"/>
    <col min="2" max="2" width="14.42578125" customWidth="1"/>
    <col min="3" max="3" width="5.7109375" customWidth="1"/>
    <col min="4" max="4" width="6.140625" customWidth="1"/>
    <col min="5" max="6" width="6.28515625" customWidth="1"/>
    <col min="7" max="7" width="6.140625" customWidth="1"/>
    <col min="8" max="8" width="6.42578125" customWidth="1"/>
    <col min="9" max="9" width="6.7109375" customWidth="1"/>
    <col min="10" max="10" width="6" customWidth="1"/>
    <col min="11" max="11" width="6.28515625" customWidth="1"/>
    <col min="12" max="12" width="6.7109375" customWidth="1"/>
    <col min="13" max="13" width="6" customWidth="1"/>
    <col min="14" max="14" width="6.28515625" customWidth="1"/>
    <col min="15" max="15" width="6.42578125" customWidth="1"/>
    <col min="16" max="16" width="6.28515625" customWidth="1"/>
    <col min="17" max="17" width="7.7109375" customWidth="1"/>
    <col min="18" max="18" width="5.85546875" customWidth="1"/>
    <col min="19" max="19" width="7" customWidth="1"/>
    <col min="20" max="20" width="6.85546875" customWidth="1"/>
    <col min="21" max="21" width="5.7109375" customWidth="1"/>
    <col min="22" max="22" width="6.42578125" customWidth="1"/>
    <col min="23" max="23" width="5.42578125" customWidth="1"/>
    <col min="24" max="24" width="6.140625" customWidth="1"/>
    <col min="25" max="26" width="6.28515625" customWidth="1"/>
    <col min="27" max="27" width="6.7109375" customWidth="1"/>
    <col min="28" max="28" width="6.5703125" customWidth="1"/>
    <col min="29" max="29" width="7.42578125" customWidth="1"/>
    <col min="30" max="30" width="7.5703125" customWidth="1"/>
    <col min="31" max="31" width="7.28515625" customWidth="1"/>
    <col min="32" max="32" width="7.7109375" customWidth="1"/>
    <col min="33" max="33" width="7.28515625" customWidth="1"/>
    <col min="34" max="34" width="8" customWidth="1"/>
    <col min="35" max="35" width="7.85546875" customWidth="1"/>
  </cols>
  <sheetData>
    <row r="1" spans="1:36" ht="20.25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</row>
    <row r="2" spans="1:36" ht="16.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</row>
    <row r="3" spans="1:36" ht="16.5">
      <c r="A3" s="140" t="s">
        <v>38</v>
      </c>
      <c r="B3" s="140"/>
      <c r="C3" s="72" t="s">
        <v>40</v>
      </c>
      <c r="D3" s="72" t="s">
        <v>104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</row>
    <row r="4" spans="1:36" ht="16.5">
      <c r="A4" s="140" t="s">
        <v>1</v>
      </c>
      <c r="B4" s="140"/>
      <c r="C4" s="72" t="s">
        <v>131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 t="s">
        <v>128</v>
      </c>
    </row>
    <row r="5" spans="1:36" ht="16.5">
      <c r="A5" s="73" t="s">
        <v>2</v>
      </c>
      <c r="B5" s="73"/>
      <c r="C5" s="72"/>
      <c r="D5" s="74">
        <v>2025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</row>
    <row r="6" spans="1:36">
      <c r="A6" s="148" t="s">
        <v>3</v>
      </c>
      <c r="B6" s="148" t="s">
        <v>106</v>
      </c>
      <c r="C6" s="151" t="s">
        <v>4</v>
      </c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3"/>
      <c r="Q6" s="142" t="s">
        <v>5</v>
      </c>
      <c r="R6" s="129" t="s">
        <v>32</v>
      </c>
      <c r="S6" s="130"/>
      <c r="T6" s="130"/>
      <c r="U6" s="131"/>
      <c r="V6" s="136" t="s">
        <v>6</v>
      </c>
      <c r="W6" s="137"/>
      <c r="X6" s="137"/>
      <c r="Y6" s="137"/>
      <c r="Z6" s="137"/>
      <c r="AA6" s="138"/>
      <c r="AB6" s="126" t="s">
        <v>7</v>
      </c>
      <c r="AC6" s="141" t="s">
        <v>8</v>
      </c>
      <c r="AD6" s="136" t="s">
        <v>9</v>
      </c>
      <c r="AE6" s="137"/>
      <c r="AF6" s="137"/>
      <c r="AG6" s="138"/>
      <c r="AH6" s="142" t="s">
        <v>10</v>
      </c>
      <c r="AI6" s="142" t="s">
        <v>11</v>
      </c>
      <c r="AJ6" s="145" t="s">
        <v>12</v>
      </c>
    </row>
    <row r="7" spans="1:36">
      <c r="A7" s="149"/>
      <c r="B7" s="149"/>
      <c r="C7" s="151" t="s">
        <v>13</v>
      </c>
      <c r="D7" s="152"/>
      <c r="E7" s="152"/>
      <c r="F7" s="152"/>
      <c r="G7" s="152"/>
      <c r="H7" s="152"/>
      <c r="I7" s="153"/>
      <c r="J7" s="151" t="s">
        <v>14</v>
      </c>
      <c r="K7" s="152"/>
      <c r="L7" s="152"/>
      <c r="M7" s="152"/>
      <c r="N7" s="152"/>
      <c r="O7" s="152"/>
      <c r="P7" s="153"/>
      <c r="Q7" s="144"/>
      <c r="R7" s="132" t="s">
        <v>35</v>
      </c>
      <c r="S7" s="132" t="s">
        <v>36</v>
      </c>
      <c r="T7" s="134" t="s">
        <v>37</v>
      </c>
      <c r="U7" s="135"/>
      <c r="V7" s="146" t="s">
        <v>15</v>
      </c>
      <c r="W7" s="147"/>
      <c r="X7" s="145" t="s">
        <v>16</v>
      </c>
      <c r="Y7" s="145"/>
      <c r="Z7" s="75" t="s">
        <v>17</v>
      </c>
      <c r="AA7" s="75" t="s">
        <v>18</v>
      </c>
      <c r="AB7" s="127"/>
      <c r="AC7" s="141"/>
      <c r="AD7" s="126" t="s">
        <v>19</v>
      </c>
      <c r="AE7" s="126" t="s">
        <v>20</v>
      </c>
      <c r="AF7" s="126" t="s">
        <v>21</v>
      </c>
      <c r="AG7" s="142" t="s">
        <v>22</v>
      </c>
      <c r="AH7" s="144"/>
      <c r="AI7" s="144"/>
      <c r="AJ7" s="145"/>
    </row>
    <row r="8" spans="1:36" ht="22.5">
      <c r="A8" s="150"/>
      <c r="B8" s="150"/>
      <c r="C8" s="114" t="s">
        <v>23</v>
      </c>
      <c r="D8" s="115" t="s">
        <v>24</v>
      </c>
      <c r="E8" s="116" t="s">
        <v>25</v>
      </c>
      <c r="F8" s="117" t="s">
        <v>26</v>
      </c>
      <c r="G8" s="117" t="s">
        <v>27</v>
      </c>
      <c r="H8" s="117" t="s">
        <v>28</v>
      </c>
      <c r="I8" s="114" t="s">
        <v>29</v>
      </c>
      <c r="J8" s="114" t="s">
        <v>23</v>
      </c>
      <c r="K8" s="115" t="s">
        <v>24</v>
      </c>
      <c r="L8" s="116" t="s">
        <v>25</v>
      </c>
      <c r="M8" s="117" t="s">
        <v>26</v>
      </c>
      <c r="N8" s="117" t="s">
        <v>27</v>
      </c>
      <c r="O8" s="117" t="s">
        <v>28</v>
      </c>
      <c r="P8" s="114" t="s">
        <v>29</v>
      </c>
      <c r="Q8" s="143"/>
      <c r="R8" s="133"/>
      <c r="S8" s="133"/>
      <c r="T8" s="79" t="s">
        <v>33</v>
      </c>
      <c r="U8" s="79" t="s">
        <v>34</v>
      </c>
      <c r="V8" s="80" t="s">
        <v>42</v>
      </c>
      <c r="W8" s="80" t="s">
        <v>41</v>
      </c>
      <c r="X8" s="75" t="s">
        <v>30</v>
      </c>
      <c r="Y8" s="75" t="s">
        <v>30</v>
      </c>
      <c r="Z8" s="75" t="s">
        <v>30</v>
      </c>
      <c r="AA8" s="75" t="s">
        <v>30</v>
      </c>
      <c r="AB8" s="128"/>
      <c r="AC8" s="141"/>
      <c r="AD8" s="128"/>
      <c r="AE8" s="128"/>
      <c r="AF8" s="128"/>
      <c r="AG8" s="143"/>
      <c r="AH8" s="143"/>
      <c r="AI8" s="143"/>
      <c r="AJ8" s="145"/>
    </row>
    <row r="9" spans="1:36">
      <c r="A9" s="118">
        <v>1</v>
      </c>
      <c r="B9" s="118">
        <v>2</v>
      </c>
      <c r="C9" s="119">
        <v>3</v>
      </c>
      <c r="D9" s="118">
        <v>4</v>
      </c>
      <c r="E9" s="118">
        <v>5</v>
      </c>
      <c r="F9" s="119">
        <v>6</v>
      </c>
      <c r="G9" s="118">
        <v>7</v>
      </c>
      <c r="H9" s="118">
        <v>8</v>
      </c>
      <c r="I9" s="119">
        <v>9</v>
      </c>
      <c r="J9" s="118">
        <v>10</v>
      </c>
      <c r="K9" s="118">
        <v>11</v>
      </c>
      <c r="L9" s="119">
        <v>12</v>
      </c>
      <c r="M9" s="118">
        <v>13</v>
      </c>
      <c r="N9" s="118">
        <v>14</v>
      </c>
      <c r="O9" s="119">
        <v>15</v>
      </c>
      <c r="P9" s="118">
        <v>16</v>
      </c>
      <c r="Q9" s="82">
        <v>17</v>
      </c>
      <c r="R9" s="83">
        <v>18</v>
      </c>
      <c r="S9" s="82">
        <v>19</v>
      </c>
      <c r="T9" s="82">
        <v>20</v>
      </c>
      <c r="U9" s="83">
        <v>21</v>
      </c>
      <c r="V9" s="82">
        <v>22</v>
      </c>
      <c r="W9" s="82">
        <v>23</v>
      </c>
      <c r="X9" s="83">
        <v>24</v>
      </c>
      <c r="Y9" s="82">
        <v>25</v>
      </c>
      <c r="Z9" s="82">
        <v>26</v>
      </c>
      <c r="AA9" s="83">
        <v>27</v>
      </c>
      <c r="AB9" s="82">
        <v>28</v>
      </c>
      <c r="AC9" s="82">
        <v>29</v>
      </c>
      <c r="AD9" s="83">
        <v>30</v>
      </c>
      <c r="AE9" s="82">
        <v>31</v>
      </c>
      <c r="AF9" s="82">
        <v>32</v>
      </c>
      <c r="AG9" s="83">
        <v>33</v>
      </c>
      <c r="AH9" s="82">
        <v>34</v>
      </c>
      <c r="AI9" s="82">
        <v>35</v>
      </c>
      <c r="AJ9" s="82">
        <v>36</v>
      </c>
    </row>
    <row r="10" spans="1:36" ht="15.75">
      <c r="A10" s="120">
        <v>1</v>
      </c>
      <c r="B10" s="121" t="s">
        <v>107</v>
      </c>
      <c r="C10" s="122">
        <v>0</v>
      </c>
      <c r="D10" s="122">
        <v>3</v>
      </c>
      <c r="E10" s="122">
        <v>0</v>
      </c>
      <c r="F10" s="122">
        <v>3</v>
      </c>
      <c r="G10" s="122">
        <v>1</v>
      </c>
      <c r="H10" s="122">
        <v>3</v>
      </c>
      <c r="I10" s="122">
        <v>2</v>
      </c>
      <c r="J10" s="122">
        <v>0</v>
      </c>
      <c r="K10" s="122">
        <v>3</v>
      </c>
      <c r="L10" s="122">
        <v>3</v>
      </c>
      <c r="M10" s="122">
        <v>0</v>
      </c>
      <c r="N10" s="122">
        <v>6</v>
      </c>
      <c r="O10" s="122">
        <v>3</v>
      </c>
      <c r="P10" s="122">
        <v>6</v>
      </c>
      <c r="Q10" s="87">
        <f>SUM(C10:P10)</f>
        <v>33</v>
      </c>
      <c r="R10" s="86">
        <v>0</v>
      </c>
      <c r="S10" s="86">
        <v>1</v>
      </c>
      <c r="T10" s="86">
        <v>1</v>
      </c>
      <c r="U10" s="86">
        <v>31</v>
      </c>
      <c r="V10" s="86">
        <v>33</v>
      </c>
      <c r="W10" s="86">
        <v>0</v>
      </c>
      <c r="X10" s="86">
        <v>30</v>
      </c>
      <c r="Y10" s="86">
        <v>30</v>
      </c>
      <c r="Z10" s="86">
        <v>21</v>
      </c>
      <c r="AA10" s="86">
        <v>20</v>
      </c>
      <c r="AB10" s="86">
        <v>0</v>
      </c>
      <c r="AC10" s="88">
        <v>0</v>
      </c>
      <c r="AD10" s="86">
        <v>32</v>
      </c>
      <c r="AE10" s="86">
        <v>1</v>
      </c>
      <c r="AF10" s="86">
        <v>0</v>
      </c>
      <c r="AG10" s="86">
        <v>0</v>
      </c>
      <c r="AH10" s="86">
        <v>1</v>
      </c>
      <c r="AI10" s="86">
        <v>1</v>
      </c>
      <c r="AJ10" s="86">
        <v>0</v>
      </c>
    </row>
    <row r="11" spans="1:36" ht="15.75">
      <c r="A11" s="120">
        <v>2</v>
      </c>
      <c r="B11" s="121" t="s">
        <v>108</v>
      </c>
      <c r="C11" s="122">
        <v>0</v>
      </c>
      <c r="D11" s="122">
        <v>2</v>
      </c>
      <c r="E11" s="122">
        <v>0</v>
      </c>
      <c r="F11" s="122">
        <v>0</v>
      </c>
      <c r="G11" s="122">
        <v>4</v>
      </c>
      <c r="H11" s="122">
        <v>3</v>
      </c>
      <c r="I11" s="122">
        <v>0</v>
      </c>
      <c r="J11" s="122">
        <v>0</v>
      </c>
      <c r="K11" s="122">
        <v>1</v>
      </c>
      <c r="L11" s="122">
        <v>0</v>
      </c>
      <c r="M11" s="122">
        <v>0</v>
      </c>
      <c r="N11" s="122">
        <v>1</v>
      </c>
      <c r="O11" s="122">
        <v>1</v>
      </c>
      <c r="P11" s="122">
        <v>2</v>
      </c>
      <c r="Q11" s="87">
        <f t="shared" ref="Q11:Q23" si="0">SUM(C11:P11)</f>
        <v>14</v>
      </c>
      <c r="R11" s="86">
        <v>13</v>
      </c>
      <c r="S11" s="86">
        <v>0</v>
      </c>
      <c r="T11" s="86">
        <v>1</v>
      </c>
      <c r="U11" s="86">
        <v>13</v>
      </c>
      <c r="V11" s="86">
        <v>13</v>
      </c>
      <c r="W11" s="86">
        <v>1</v>
      </c>
      <c r="X11" s="86">
        <v>11</v>
      </c>
      <c r="Y11" s="86">
        <v>11</v>
      </c>
      <c r="Z11" s="86">
        <v>11</v>
      </c>
      <c r="AA11" s="86">
        <v>8</v>
      </c>
      <c r="AB11" s="86">
        <v>0</v>
      </c>
      <c r="AC11" s="88">
        <v>0</v>
      </c>
      <c r="AD11" s="86">
        <v>11</v>
      </c>
      <c r="AE11" s="86">
        <v>3</v>
      </c>
      <c r="AF11" s="86">
        <v>0</v>
      </c>
      <c r="AG11" s="86">
        <v>0</v>
      </c>
      <c r="AH11" s="86">
        <v>0</v>
      </c>
      <c r="AI11" s="86">
        <v>0</v>
      </c>
      <c r="AJ11" s="86">
        <v>0</v>
      </c>
    </row>
    <row r="12" spans="1:36" ht="15.75">
      <c r="A12" s="120">
        <v>3</v>
      </c>
      <c r="B12" s="121" t="s">
        <v>119</v>
      </c>
      <c r="C12" s="122">
        <v>1</v>
      </c>
      <c r="D12" s="122">
        <v>1</v>
      </c>
      <c r="E12" s="122">
        <v>1</v>
      </c>
      <c r="F12" s="122">
        <v>0</v>
      </c>
      <c r="G12" s="122">
        <v>1</v>
      </c>
      <c r="H12" s="122">
        <v>2</v>
      </c>
      <c r="I12" s="122">
        <v>1</v>
      </c>
      <c r="J12" s="122">
        <v>0</v>
      </c>
      <c r="K12" s="122">
        <v>2</v>
      </c>
      <c r="L12" s="122">
        <v>0</v>
      </c>
      <c r="M12" s="122">
        <v>0</v>
      </c>
      <c r="N12" s="122">
        <v>3</v>
      </c>
      <c r="O12" s="122">
        <v>4</v>
      </c>
      <c r="P12" s="122">
        <v>6</v>
      </c>
      <c r="Q12" s="87">
        <f t="shared" si="0"/>
        <v>22</v>
      </c>
      <c r="R12" s="86">
        <v>0</v>
      </c>
      <c r="S12" s="86">
        <v>0</v>
      </c>
      <c r="T12" s="86">
        <v>5</v>
      </c>
      <c r="U12" s="86">
        <v>17</v>
      </c>
      <c r="V12" s="86">
        <v>22</v>
      </c>
      <c r="W12" s="86">
        <v>0</v>
      </c>
      <c r="X12" s="86">
        <v>14</v>
      </c>
      <c r="Y12" s="86">
        <v>14</v>
      </c>
      <c r="Z12" s="86">
        <v>14</v>
      </c>
      <c r="AA12" s="86">
        <v>11</v>
      </c>
      <c r="AB12" s="86">
        <v>0</v>
      </c>
      <c r="AC12" s="88">
        <v>0</v>
      </c>
      <c r="AD12" s="86">
        <v>17</v>
      </c>
      <c r="AE12" s="86">
        <v>5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</row>
    <row r="13" spans="1:36" ht="15.75">
      <c r="A13" s="120">
        <v>4</v>
      </c>
      <c r="B13" s="121" t="s">
        <v>109</v>
      </c>
      <c r="C13" s="122">
        <v>1</v>
      </c>
      <c r="D13" s="122">
        <v>2</v>
      </c>
      <c r="E13" s="122">
        <v>1</v>
      </c>
      <c r="F13" s="122">
        <v>2</v>
      </c>
      <c r="G13" s="122">
        <v>4</v>
      </c>
      <c r="H13" s="122">
        <v>11</v>
      </c>
      <c r="I13" s="122">
        <v>5</v>
      </c>
      <c r="J13" s="122">
        <v>3</v>
      </c>
      <c r="K13" s="122">
        <v>2</v>
      </c>
      <c r="L13" s="122">
        <v>4</v>
      </c>
      <c r="M13" s="122">
        <v>2</v>
      </c>
      <c r="N13" s="122">
        <v>5</v>
      </c>
      <c r="O13" s="122">
        <v>4</v>
      </c>
      <c r="P13" s="122">
        <v>7</v>
      </c>
      <c r="Q13" s="87">
        <f t="shared" si="0"/>
        <v>53</v>
      </c>
      <c r="R13" s="86">
        <v>0</v>
      </c>
      <c r="S13" s="86">
        <v>0</v>
      </c>
      <c r="T13" s="86">
        <v>1</v>
      </c>
      <c r="U13" s="86">
        <v>52</v>
      </c>
      <c r="V13" s="86">
        <v>53</v>
      </c>
      <c r="W13" s="86">
        <v>0</v>
      </c>
      <c r="X13" s="86">
        <v>17</v>
      </c>
      <c r="Y13" s="86">
        <v>17</v>
      </c>
      <c r="Z13" s="86">
        <v>9</v>
      </c>
      <c r="AA13" s="86">
        <v>7</v>
      </c>
      <c r="AB13" s="86">
        <v>0</v>
      </c>
      <c r="AC13" s="88">
        <v>0</v>
      </c>
      <c r="AD13" s="86">
        <v>50</v>
      </c>
      <c r="AE13" s="86">
        <v>3</v>
      </c>
      <c r="AF13" s="86">
        <v>0</v>
      </c>
      <c r="AG13" s="86">
        <v>0</v>
      </c>
      <c r="AH13" s="86">
        <v>0</v>
      </c>
      <c r="AI13" s="86">
        <v>0</v>
      </c>
      <c r="AJ13" s="86">
        <v>0</v>
      </c>
    </row>
    <row r="14" spans="1:36" ht="15.75">
      <c r="A14" s="120">
        <v>5</v>
      </c>
      <c r="B14" s="121" t="s">
        <v>110</v>
      </c>
      <c r="C14" s="122">
        <v>0</v>
      </c>
      <c r="D14" s="122">
        <v>4</v>
      </c>
      <c r="E14" s="122">
        <v>3</v>
      </c>
      <c r="F14" s="122">
        <v>1</v>
      </c>
      <c r="G14" s="122">
        <v>5</v>
      </c>
      <c r="H14" s="122">
        <v>6</v>
      </c>
      <c r="I14" s="122">
        <v>0</v>
      </c>
      <c r="J14" s="122">
        <v>2</v>
      </c>
      <c r="K14" s="122">
        <v>2</v>
      </c>
      <c r="L14" s="122">
        <v>1</v>
      </c>
      <c r="M14" s="122">
        <v>1</v>
      </c>
      <c r="N14" s="122">
        <v>5</v>
      </c>
      <c r="O14" s="122">
        <v>7</v>
      </c>
      <c r="P14" s="122">
        <v>3</v>
      </c>
      <c r="Q14" s="87">
        <f t="shared" si="0"/>
        <v>40</v>
      </c>
      <c r="R14" s="86">
        <v>23</v>
      </c>
      <c r="S14" s="86">
        <v>16</v>
      </c>
      <c r="T14" s="86">
        <v>1</v>
      </c>
      <c r="U14" s="86">
        <v>0</v>
      </c>
      <c r="V14" s="86">
        <v>40</v>
      </c>
      <c r="W14" s="86">
        <v>0</v>
      </c>
      <c r="X14" s="86">
        <v>33</v>
      </c>
      <c r="Y14" s="86">
        <v>33</v>
      </c>
      <c r="Z14" s="86">
        <v>16</v>
      </c>
      <c r="AA14" s="86">
        <v>4</v>
      </c>
      <c r="AB14" s="86">
        <v>0</v>
      </c>
      <c r="AC14" s="88">
        <v>0</v>
      </c>
      <c r="AD14" s="86">
        <v>38</v>
      </c>
      <c r="AE14" s="86">
        <v>2</v>
      </c>
      <c r="AF14" s="86">
        <v>0</v>
      </c>
      <c r="AG14" s="86">
        <v>0</v>
      </c>
      <c r="AH14" s="86">
        <v>0</v>
      </c>
      <c r="AI14" s="86">
        <v>0</v>
      </c>
      <c r="AJ14" s="86">
        <v>0</v>
      </c>
    </row>
    <row r="15" spans="1:36" ht="15.75">
      <c r="A15" s="120">
        <v>6</v>
      </c>
      <c r="B15" s="121" t="s">
        <v>111</v>
      </c>
      <c r="C15" s="122">
        <v>0</v>
      </c>
      <c r="D15" s="122">
        <v>0</v>
      </c>
      <c r="E15" s="122">
        <v>1</v>
      </c>
      <c r="F15" s="122">
        <v>0</v>
      </c>
      <c r="G15" s="122">
        <v>2</v>
      </c>
      <c r="H15" s="122">
        <v>3</v>
      </c>
      <c r="I15" s="122">
        <v>0</v>
      </c>
      <c r="J15" s="122">
        <v>0</v>
      </c>
      <c r="K15" s="122">
        <v>1</v>
      </c>
      <c r="L15" s="122">
        <v>0</v>
      </c>
      <c r="M15" s="122">
        <v>0</v>
      </c>
      <c r="N15" s="122">
        <v>5</v>
      </c>
      <c r="O15" s="122">
        <v>1</v>
      </c>
      <c r="P15" s="122">
        <v>2</v>
      </c>
      <c r="Q15" s="87">
        <f t="shared" si="0"/>
        <v>15</v>
      </c>
      <c r="R15" s="86">
        <v>0</v>
      </c>
      <c r="S15" s="86">
        <v>13</v>
      </c>
      <c r="T15" s="86">
        <v>2</v>
      </c>
      <c r="U15" s="86">
        <v>0</v>
      </c>
      <c r="V15" s="86">
        <v>15</v>
      </c>
      <c r="W15" s="86">
        <v>0</v>
      </c>
      <c r="X15" s="86">
        <v>12</v>
      </c>
      <c r="Y15" s="86">
        <v>12</v>
      </c>
      <c r="Z15" s="86">
        <v>15</v>
      </c>
      <c r="AA15" s="86">
        <v>4</v>
      </c>
      <c r="AB15" s="86">
        <v>0</v>
      </c>
      <c r="AC15" s="88">
        <v>0</v>
      </c>
      <c r="AD15" s="86">
        <v>13</v>
      </c>
      <c r="AE15" s="86">
        <v>2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ht="15.75">
      <c r="A16" s="120">
        <v>7</v>
      </c>
      <c r="B16" s="121" t="s">
        <v>112</v>
      </c>
      <c r="C16" s="122">
        <v>2</v>
      </c>
      <c r="D16" s="122">
        <v>6</v>
      </c>
      <c r="E16" s="122">
        <v>8</v>
      </c>
      <c r="F16" s="122">
        <v>0</v>
      </c>
      <c r="G16" s="122">
        <v>0</v>
      </c>
      <c r="H16" s="122">
        <v>6</v>
      </c>
      <c r="I16" s="122">
        <v>3</v>
      </c>
      <c r="J16" s="122">
        <v>4</v>
      </c>
      <c r="K16" s="122">
        <v>2</v>
      </c>
      <c r="L16" s="122">
        <v>6</v>
      </c>
      <c r="M16" s="122">
        <v>3</v>
      </c>
      <c r="N16" s="122">
        <v>5</v>
      </c>
      <c r="O16" s="122">
        <v>3</v>
      </c>
      <c r="P16" s="122">
        <v>4</v>
      </c>
      <c r="Q16" s="87">
        <f>P16+O16+N16+M16+L16+K16+J16+I16+H16+G16+F16+E16+D16+C16</f>
        <v>52</v>
      </c>
      <c r="R16" s="86">
        <v>0</v>
      </c>
      <c r="S16" s="86">
        <v>0</v>
      </c>
      <c r="T16" s="86">
        <v>2</v>
      </c>
      <c r="U16" s="86">
        <v>50</v>
      </c>
      <c r="V16" s="86">
        <v>52</v>
      </c>
      <c r="W16" s="86">
        <v>0</v>
      </c>
      <c r="X16" s="86">
        <v>28</v>
      </c>
      <c r="Y16" s="86">
        <v>28</v>
      </c>
      <c r="Z16" s="86">
        <v>20</v>
      </c>
      <c r="AA16" s="86">
        <v>18</v>
      </c>
      <c r="AB16" s="86">
        <v>0</v>
      </c>
      <c r="AC16" s="88"/>
      <c r="AD16" s="86">
        <v>52</v>
      </c>
      <c r="AE16" s="86">
        <v>0</v>
      </c>
      <c r="AF16" s="86">
        <v>0</v>
      </c>
      <c r="AG16" s="86">
        <v>0</v>
      </c>
      <c r="AH16" s="86">
        <v>0</v>
      </c>
      <c r="AI16" s="86">
        <v>0</v>
      </c>
      <c r="AJ16" s="86">
        <v>0</v>
      </c>
    </row>
    <row r="17" spans="1:36" ht="15.75">
      <c r="A17" s="120">
        <v>8</v>
      </c>
      <c r="B17" s="121" t="s">
        <v>113</v>
      </c>
      <c r="C17" s="122">
        <v>0</v>
      </c>
      <c r="D17" s="122">
        <v>1</v>
      </c>
      <c r="E17" s="122">
        <v>2</v>
      </c>
      <c r="F17" s="122">
        <v>1</v>
      </c>
      <c r="G17" s="122">
        <v>2</v>
      </c>
      <c r="H17" s="122">
        <v>0</v>
      </c>
      <c r="I17" s="122">
        <v>1</v>
      </c>
      <c r="J17" s="122">
        <v>0</v>
      </c>
      <c r="K17" s="122">
        <v>0</v>
      </c>
      <c r="L17" s="122">
        <v>0</v>
      </c>
      <c r="M17" s="122">
        <v>0</v>
      </c>
      <c r="N17" s="122">
        <v>3</v>
      </c>
      <c r="O17" s="122">
        <v>1</v>
      </c>
      <c r="P17" s="122">
        <v>0</v>
      </c>
      <c r="Q17" s="87">
        <f t="shared" si="0"/>
        <v>11</v>
      </c>
      <c r="R17" s="86">
        <v>8</v>
      </c>
      <c r="S17" s="86">
        <v>0</v>
      </c>
      <c r="T17" s="86">
        <v>2</v>
      </c>
      <c r="U17" s="86">
        <v>0</v>
      </c>
      <c r="V17" s="86">
        <v>11</v>
      </c>
      <c r="W17" s="86">
        <v>0</v>
      </c>
      <c r="X17" s="86">
        <v>4</v>
      </c>
      <c r="Y17" s="86">
        <v>4</v>
      </c>
      <c r="Z17" s="86">
        <v>6</v>
      </c>
      <c r="AA17" s="86">
        <v>7</v>
      </c>
      <c r="AB17" s="86">
        <v>0</v>
      </c>
      <c r="AC17" s="88">
        <v>0</v>
      </c>
      <c r="AD17" s="86">
        <v>11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6">
        <v>0</v>
      </c>
    </row>
    <row r="18" spans="1:36" ht="15.75">
      <c r="A18" s="120">
        <v>9</v>
      </c>
      <c r="B18" s="121" t="s">
        <v>114</v>
      </c>
      <c r="C18" s="122">
        <v>1</v>
      </c>
      <c r="D18" s="122">
        <v>0</v>
      </c>
      <c r="E18" s="122">
        <v>0</v>
      </c>
      <c r="F18" s="122">
        <v>1</v>
      </c>
      <c r="G18" s="122">
        <v>4</v>
      </c>
      <c r="H18" s="122">
        <v>3</v>
      </c>
      <c r="I18" s="122">
        <v>1</v>
      </c>
      <c r="J18" s="122">
        <v>0</v>
      </c>
      <c r="K18" s="122">
        <v>3</v>
      </c>
      <c r="L18" s="122">
        <v>0</v>
      </c>
      <c r="M18" s="122">
        <v>0</v>
      </c>
      <c r="N18" s="122">
        <v>1</v>
      </c>
      <c r="O18" s="122">
        <v>0</v>
      </c>
      <c r="P18" s="122">
        <v>0</v>
      </c>
      <c r="Q18" s="87">
        <f t="shared" si="0"/>
        <v>14</v>
      </c>
      <c r="R18" s="86">
        <v>0</v>
      </c>
      <c r="S18" s="86">
        <v>0</v>
      </c>
      <c r="T18" s="86">
        <v>4</v>
      </c>
      <c r="U18" s="86">
        <v>10</v>
      </c>
      <c r="V18" s="86">
        <v>14</v>
      </c>
      <c r="W18" s="86">
        <v>2</v>
      </c>
      <c r="X18" s="86">
        <v>2</v>
      </c>
      <c r="Y18" s="86">
        <v>2</v>
      </c>
      <c r="Z18" s="86">
        <v>1</v>
      </c>
      <c r="AA18" s="86">
        <v>0</v>
      </c>
      <c r="AB18" s="86">
        <v>0</v>
      </c>
      <c r="AC18" s="88">
        <v>0</v>
      </c>
      <c r="AD18" s="86">
        <v>14</v>
      </c>
      <c r="AE18" s="86">
        <v>0</v>
      </c>
      <c r="AF18" s="86">
        <v>0</v>
      </c>
      <c r="AG18" s="86">
        <v>0</v>
      </c>
      <c r="AH18" s="86">
        <v>0</v>
      </c>
      <c r="AI18" s="86">
        <v>0</v>
      </c>
      <c r="AJ18" s="86">
        <v>0</v>
      </c>
    </row>
    <row r="19" spans="1:36" ht="15.75">
      <c r="A19" s="120">
        <v>10</v>
      </c>
      <c r="B19" s="121" t="s">
        <v>115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87">
        <f t="shared" si="0"/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86">
        <v>3</v>
      </c>
      <c r="AA19" s="86">
        <v>2</v>
      </c>
      <c r="AB19" s="86">
        <v>0</v>
      </c>
      <c r="AC19" s="88">
        <v>0</v>
      </c>
      <c r="AD19" s="86">
        <v>0</v>
      </c>
      <c r="AE19" s="86">
        <v>0</v>
      </c>
      <c r="AF19" s="86">
        <v>0</v>
      </c>
      <c r="AG19" s="86">
        <v>0</v>
      </c>
      <c r="AH19" s="86">
        <v>0</v>
      </c>
      <c r="AI19" s="86">
        <v>0</v>
      </c>
      <c r="AJ19" s="86">
        <v>0</v>
      </c>
    </row>
    <row r="20" spans="1:36" ht="15.75">
      <c r="A20" s="120">
        <v>11</v>
      </c>
      <c r="B20" s="121" t="s">
        <v>116</v>
      </c>
      <c r="C20" s="122">
        <v>3</v>
      </c>
      <c r="D20" s="122">
        <v>1</v>
      </c>
      <c r="E20" s="122">
        <v>0</v>
      </c>
      <c r="F20" s="122">
        <v>0</v>
      </c>
      <c r="G20" s="122">
        <v>2</v>
      </c>
      <c r="H20" s="122">
        <v>1</v>
      </c>
      <c r="I20" s="122">
        <v>0</v>
      </c>
      <c r="J20" s="122">
        <v>0</v>
      </c>
      <c r="K20" s="122">
        <v>0</v>
      </c>
      <c r="L20" s="122">
        <v>0</v>
      </c>
      <c r="M20" s="122">
        <v>1</v>
      </c>
      <c r="N20" s="122">
        <v>1</v>
      </c>
      <c r="O20" s="122">
        <v>0</v>
      </c>
      <c r="P20" s="122">
        <v>0</v>
      </c>
      <c r="Q20" s="87">
        <v>9</v>
      </c>
      <c r="R20" s="86">
        <v>9</v>
      </c>
      <c r="S20" s="86">
        <v>0</v>
      </c>
      <c r="T20" s="86">
        <v>0</v>
      </c>
      <c r="U20" s="86">
        <v>0</v>
      </c>
      <c r="V20" s="86">
        <v>9</v>
      </c>
      <c r="W20" s="86">
        <v>0</v>
      </c>
      <c r="X20" s="86">
        <v>5</v>
      </c>
      <c r="Y20" s="86">
        <v>5</v>
      </c>
      <c r="Z20" s="86">
        <v>7</v>
      </c>
      <c r="AA20" s="86">
        <v>7</v>
      </c>
      <c r="AB20" s="86">
        <v>0</v>
      </c>
      <c r="AC20" s="88">
        <v>0</v>
      </c>
      <c r="AD20" s="86">
        <v>8</v>
      </c>
      <c r="AE20" s="86">
        <v>0</v>
      </c>
      <c r="AF20" s="86">
        <v>1</v>
      </c>
      <c r="AG20" s="86">
        <v>0</v>
      </c>
      <c r="AH20" s="86">
        <v>0</v>
      </c>
      <c r="AI20" s="86">
        <v>0</v>
      </c>
      <c r="AJ20" s="86">
        <v>0</v>
      </c>
    </row>
    <row r="21" spans="1:36" ht="15.75">
      <c r="A21" s="120">
        <v>12</v>
      </c>
      <c r="B21" s="121" t="s">
        <v>117</v>
      </c>
      <c r="C21" s="122">
        <v>1</v>
      </c>
      <c r="D21" s="122">
        <v>1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0</v>
      </c>
      <c r="K21" s="122">
        <v>0</v>
      </c>
      <c r="L21" s="122">
        <v>0</v>
      </c>
      <c r="M21" s="122">
        <v>0</v>
      </c>
      <c r="N21" s="122">
        <v>0</v>
      </c>
      <c r="O21" s="122">
        <v>1</v>
      </c>
      <c r="P21" s="122">
        <v>1</v>
      </c>
      <c r="Q21" s="87">
        <f t="shared" si="0"/>
        <v>4</v>
      </c>
      <c r="R21" s="86">
        <v>3</v>
      </c>
      <c r="S21" s="86">
        <v>0</v>
      </c>
      <c r="T21" s="86">
        <v>1</v>
      </c>
      <c r="U21" s="86">
        <v>0</v>
      </c>
      <c r="V21" s="86">
        <v>4</v>
      </c>
      <c r="W21" s="86">
        <v>0</v>
      </c>
      <c r="X21" s="86">
        <v>3</v>
      </c>
      <c r="Y21" s="86">
        <v>3</v>
      </c>
      <c r="Z21" s="86">
        <v>3</v>
      </c>
      <c r="AA21" s="86">
        <v>3</v>
      </c>
      <c r="AB21" s="86">
        <v>0</v>
      </c>
      <c r="AC21" s="88">
        <v>0</v>
      </c>
      <c r="AD21" s="86">
        <v>4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 ht="15.75">
      <c r="A22" s="120">
        <v>13</v>
      </c>
      <c r="B22" s="121" t="s">
        <v>118</v>
      </c>
      <c r="C22" s="122">
        <v>0</v>
      </c>
      <c r="D22" s="122">
        <v>0</v>
      </c>
      <c r="E22" s="122">
        <v>0</v>
      </c>
      <c r="F22" s="122">
        <v>1</v>
      </c>
      <c r="G22" s="122">
        <v>1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87">
        <f t="shared" si="0"/>
        <v>2</v>
      </c>
      <c r="R22" s="86">
        <v>0</v>
      </c>
      <c r="S22" s="86">
        <v>0</v>
      </c>
      <c r="T22" s="86">
        <v>0</v>
      </c>
      <c r="U22" s="86">
        <v>0</v>
      </c>
      <c r="V22" s="86">
        <v>0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86">
        <v>2</v>
      </c>
      <c r="AC22" s="88">
        <v>0</v>
      </c>
      <c r="AD22" s="86">
        <v>2</v>
      </c>
      <c r="AE22" s="86">
        <v>0</v>
      </c>
      <c r="AF22" s="86">
        <v>0</v>
      </c>
      <c r="AG22" s="86">
        <v>0</v>
      </c>
      <c r="AH22" s="86">
        <v>0</v>
      </c>
      <c r="AI22" s="86"/>
      <c r="AJ22" s="86"/>
    </row>
    <row r="23" spans="1:36" ht="16.5">
      <c r="A23" s="154" t="s">
        <v>31</v>
      </c>
      <c r="B23" s="155"/>
      <c r="C23" s="123">
        <f>SUM(C10:C22)</f>
        <v>9</v>
      </c>
      <c r="D23" s="123">
        <f t="shared" ref="D23:M23" si="1">SUM(D10:D22)</f>
        <v>21</v>
      </c>
      <c r="E23" s="123">
        <f t="shared" si="1"/>
        <v>16</v>
      </c>
      <c r="F23" s="123">
        <f t="shared" si="1"/>
        <v>9</v>
      </c>
      <c r="G23" s="123">
        <f t="shared" si="1"/>
        <v>26</v>
      </c>
      <c r="H23" s="123">
        <f t="shared" si="1"/>
        <v>38</v>
      </c>
      <c r="I23" s="123">
        <f t="shared" si="1"/>
        <v>13</v>
      </c>
      <c r="J23" s="123">
        <f t="shared" si="1"/>
        <v>9</v>
      </c>
      <c r="K23" s="123">
        <f t="shared" si="1"/>
        <v>16</v>
      </c>
      <c r="L23" s="123">
        <f t="shared" si="1"/>
        <v>14</v>
      </c>
      <c r="M23" s="123">
        <f t="shared" si="1"/>
        <v>7</v>
      </c>
      <c r="N23" s="123">
        <f>SUM(N10:N22)</f>
        <v>35</v>
      </c>
      <c r="O23" s="123">
        <f t="shared" ref="O23:AJ23" si="2">SUM(O10:O22)</f>
        <v>25</v>
      </c>
      <c r="P23" s="123">
        <f t="shared" si="2"/>
        <v>31</v>
      </c>
      <c r="Q23" s="87">
        <f t="shared" si="0"/>
        <v>269</v>
      </c>
      <c r="R23" s="89">
        <f t="shared" si="2"/>
        <v>56</v>
      </c>
      <c r="S23" s="89">
        <f t="shared" si="2"/>
        <v>30</v>
      </c>
      <c r="T23" s="89">
        <f t="shared" si="2"/>
        <v>20</v>
      </c>
      <c r="U23" s="89">
        <f t="shared" si="2"/>
        <v>173</v>
      </c>
      <c r="V23" s="89">
        <f t="shared" si="2"/>
        <v>266</v>
      </c>
      <c r="W23" s="89">
        <f t="shared" si="2"/>
        <v>3</v>
      </c>
      <c r="X23" s="89">
        <f t="shared" si="2"/>
        <v>159</v>
      </c>
      <c r="Y23" s="89">
        <f t="shared" si="2"/>
        <v>159</v>
      </c>
      <c r="Z23" s="89">
        <f t="shared" si="2"/>
        <v>126</v>
      </c>
      <c r="AA23" s="89">
        <f t="shared" si="2"/>
        <v>91</v>
      </c>
      <c r="AB23" s="89">
        <f t="shared" si="2"/>
        <v>2</v>
      </c>
      <c r="AC23" s="90">
        <v>0</v>
      </c>
      <c r="AD23" s="89">
        <f t="shared" si="2"/>
        <v>252</v>
      </c>
      <c r="AE23" s="89">
        <f t="shared" si="2"/>
        <v>16</v>
      </c>
      <c r="AF23" s="89">
        <f t="shared" si="2"/>
        <v>1</v>
      </c>
      <c r="AG23" s="89">
        <f t="shared" si="2"/>
        <v>0</v>
      </c>
      <c r="AH23" s="89">
        <f t="shared" si="2"/>
        <v>1</v>
      </c>
      <c r="AI23" s="89">
        <f t="shared" si="2"/>
        <v>1</v>
      </c>
      <c r="AJ23" s="89">
        <f t="shared" si="2"/>
        <v>0</v>
      </c>
    </row>
  </sheetData>
  <mergeCells count="27">
    <mergeCell ref="AH6:AH8"/>
    <mergeCell ref="A23:B23"/>
    <mergeCell ref="V7:W7"/>
    <mergeCell ref="X7:Y7"/>
    <mergeCell ref="AD7:AD8"/>
    <mergeCell ref="AE7:AE8"/>
    <mergeCell ref="T7:U7"/>
    <mergeCell ref="AF7:AF8"/>
    <mergeCell ref="AG7:AG8"/>
    <mergeCell ref="AC6:AC8"/>
    <mergeCell ref="AD6:AG6"/>
    <mergeCell ref="A1:AJ1"/>
    <mergeCell ref="A3:B3"/>
    <mergeCell ref="A4:B4"/>
    <mergeCell ref="A6:A8"/>
    <mergeCell ref="B6:B8"/>
    <mergeCell ref="C6:P6"/>
    <mergeCell ref="Q6:Q8"/>
    <mergeCell ref="R6:U6"/>
    <mergeCell ref="V6:AA6"/>
    <mergeCell ref="AB6:AB8"/>
    <mergeCell ref="AI6:AI8"/>
    <mergeCell ref="AJ6:AJ8"/>
    <mergeCell ref="C7:I7"/>
    <mergeCell ref="J7:P7"/>
    <mergeCell ref="R7:R8"/>
    <mergeCell ref="S7:S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78B9-AA70-4943-AD1F-2FEF507107AF}">
  <dimension ref="A1:AJ23"/>
  <sheetViews>
    <sheetView topLeftCell="K1" workbookViewId="0">
      <selection activeCell="C13" sqref="C13"/>
    </sheetView>
  </sheetViews>
  <sheetFormatPr defaultRowHeight="15"/>
  <cols>
    <col min="1" max="1" width="5" customWidth="1"/>
    <col min="2" max="2" width="13.7109375" customWidth="1"/>
    <col min="3" max="3" width="5.42578125" customWidth="1"/>
    <col min="4" max="4" width="5.5703125" customWidth="1"/>
    <col min="5" max="5" width="5.7109375" customWidth="1"/>
    <col min="6" max="6" width="6" customWidth="1"/>
    <col min="7" max="7" width="5.7109375" customWidth="1"/>
    <col min="8" max="8" width="6" customWidth="1"/>
    <col min="9" max="9" width="6.28515625" customWidth="1"/>
    <col min="10" max="11" width="5.7109375" customWidth="1"/>
    <col min="12" max="12" width="5.85546875" customWidth="1"/>
    <col min="13" max="14" width="6.5703125" customWidth="1"/>
    <col min="15" max="15" width="6.7109375" customWidth="1"/>
    <col min="16" max="16" width="6.42578125" customWidth="1"/>
    <col min="17" max="18" width="7.28515625" customWidth="1"/>
    <col min="19" max="19" width="7.140625" customWidth="1"/>
    <col min="20" max="20" width="7.28515625" customWidth="1"/>
    <col min="21" max="21" width="6.5703125" customWidth="1"/>
    <col min="22" max="22" width="7.140625" customWidth="1"/>
    <col min="23" max="23" width="6.5703125" customWidth="1"/>
    <col min="24" max="24" width="8" customWidth="1"/>
    <col min="25" max="25" width="7.85546875" customWidth="1"/>
    <col min="26" max="26" width="8" customWidth="1"/>
    <col min="27" max="27" width="8.140625" customWidth="1"/>
    <col min="28" max="28" width="6.85546875" customWidth="1"/>
    <col min="29" max="29" width="8" customWidth="1"/>
    <col min="30" max="30" width="7.85546875" customWidth="1"/>
    <col min="31" max="31" width="8.28515625" customWidth="1"/>
    <col min="32" max="32" width="8.140625" customWidth="1"/>
    <col min="33" max="33" width="7" customWidth="1"/>
    <col min="34" max="34" width="7.5703125" customWidth="1"/>
    <col min="35" max="35" width="8" customWidth="1"/>
  </cols>
  <sheetData>
    <row r="1" spans="1:36" ht="20.25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</row>
    <row r="2" spans="1:36" ht="16.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</row>
    <row r="3" spans="1:36" ht="16.5">
      <c r="A3" s="140" t="s">
        <v>38</v>
      </c>
      <c r="B3" s="140"/>
      <c r="C3" s="72" t="s">
        <v>40</v>
      </c>
      <c r="D3" s="72" t="s">
        <v>104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</row>
    <row r="4" spans="1:36" ht="16.5">
      <c r="A4" s="140" t="s">
        <v>1</v>
      </c>
      <c r="B4" s="140"/>
      <c r="C4" s="72" t="s">
        <v>132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 t="s">
        <v>128</v>
      </c>
    </row>
    <row r="5" spans="1:36" ht="16.5">
      <c r="A5" s="73" t="s">
        <v>2</v>
      </c>
      <c r="B5" s="73"/>
      <c r="C5" s="72"/>
      <c r="D5" s="74">
        <v>2025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</row>
    <row r="6" spans="1:36">
      <c r="A6" s="148" t="s">
        <v>3</v>
      </c>
      <c r="B6" s="148" t="s">
        <v>106</v>
      </c>
      <c r="C6" s="151" t="s">
        <v>4</v>
      </c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3"/>
      <c r="Q6" s="142" t="s">
        <v>5</v>
      </c>
      <c r="R6" s="129" t="s">
        <v>32</v>
      </c>
      <c r="S6" s="130"/>
      <c r="T6" s="130"/>
      <c r="U6" s="131"/>
      <c r="V6" s="136" t="s">
        <v>6</v>
      </c>
      <c r="W6" s="137"/>
      <c r="X6" s="137"/>
      <c r="Y6" s="137"/>
      <c r="Z6" s="137"/>
      <c r="AA6" s="138"/>
      <c r="AB6" s="126" t="s">
        <v>7</v>
      </c>
      <c r="AC6" s="141" t="s">
        <v>8</v>
      </c>
      <c r="AD6" s="136" t="s">
        <v>9</v>
      </c>
      <c r="AE6" s="137"/>
      <c r="AF6" s="137"/>
      <c r="AG6" s="138"/>
      <c r="AH6" s="142" t="s">
        <v>10</v>
      </c>
      <c r="AI6" s="142" t="s">
        <v>11</v>
      </c>
      <c r="AJ6" s="145" t="s">
        <v>12</v>
      </c>
    </row>
    <row r="7" spans="1:36">
      <c r="A7" s="149"/>
      <c r="B7" s="149"/>
      <c r="C7" s="151" t="s">
        <v>13</v>
      </c>
      <c r="D7" s="152"/>
      <c r="E7" s="152"/>
      <c r="F7" s="152"/>
      <c r="G7" s="152"/>
      <c r="H7" s="152"/>
      <c r="I7" s="153"/>
      <c r="J7" s="151" t="s">
        <v>14</v>
      </c>
      <c r="K7" s="152"/>
      <c r="L7" s="152"/>
      <c r="M7" s="152"/>
      <c r="N7" s="152"/>
      <c r="O7" s="152"/>
      <c r="P7" s="153"/>
      <c r="Q7" s="144"/>
      <c r="R7" s="132" t="s">
        <v>35</v>
      </c>
      <c r="S7" s="132" t="s">
        <v>36</v>
      </c>
      <c r="T7" s="134" t="s">
        <v>37</v>
      </c>
      <c r="U7" s="135"/>
      <c r="V7" s="146" t="s">
        <v>15</v>
      </c>
      <c r="W7" s="147"/>
      <c r="X7" s="145" t="s">
        <v>16</v>
      </c>
      <c r="Y7" s="145"/>
      <c r="Z7" s="75" t="s">
        <v>17</v>
      </c>
      <c r="AA7" s="75" t="s">
        <v>18</v>
      </c>
      <c r="AB7" s="127"/>
      <c r="AC7" s="141"/>
      <c r="AD7" s="126" t="s">
        <v>19</v>
      </c>
      <c r="AE7" s="126" t="s">
        <v>20</v>
      </c>
      <c r="AF7" s="126" t="s">
        <v>21</v>
      </c>
      <c r="AG7" s="142" t="s">
        <v>22</v>
      </c>
      <c r="AH7" s="144"/>
      <c r="AI7" s="144"/>
      <c r="AJ7" s="145"/>
    </row>
    <row r="8" spans="1:36" ht="22.5">
      <c r="A8" s="150"/>
      <c r="B8" s="150"/>
      <c r="C8" s="114" t="s">
        <v>23</v>
      </c>
      <c r="D8" s="115" t="s">
        <v>24</v>
      </c>
      <c r="E8" s="116" t="s">
        <v>25</v>
      </c>
      <c r="F8" s="117" t="s">
        <v>26</v>
      </c>
      <c r="G8" s="117" t="s">
        <v>27</v>
      </c>
      <c r="H8" s="117" t="s">
        <v>28</v>
      </c>
      <c r="I8" s="114" t="s">
        <v>29</v>
      </c>
      <c r="J8" s="114" t="s">
        <v>23</v>
      </c>
      <c r="K8" s="115" t="s">
        <v>24</v>
      </c>
      <c r="L8" s="116" t="s">
        <v>25</v>
      </c>
      <c r="M8" s="117" t="s">
        <v>26</v>
      </c>
      <c r="N8" s="117" t="s">
        <v>27</v>
      </c>
      <c r="O8" s="117" t="s">
        <v>28</v>
      </c>
      <c r="P8" s="114" t="s">
        <v>29</v>
      </c>
      <c r="Q8" s="143"/>
      <c r="R8" s="133"/>
      <c r="S8" s="133"/>
      <c r="T8" s="79" t="s">
        <v>33</v>
      </c>
      <c r="U8" s="79" t="s">
        <v>34</v>
      </c>
      <c r="V8" s="80" t="s">
        <v>42</v>
      </c>
      <c r="W8" s="80" t="s">
        <v>41</v>
      </c>
      <c r="X8" s="75" t="s">
        <v>30</v>
      </c>
      <c r="Y8" s="75" t="s">
        <v>30</v>
      </c>
      <c r="Z8" s="75" t="s">
        <v>30</v>
      </c>
      <c r="AA8" s="75" t="s">
        <v>30</v>
      </c>
      <c r="AB8" s="128"/>
      <c r="AC8" s="141"/>
      <c r="AD8" s="128"/>
      <c r="AE8" s="128"/>
      <c r="AF8" s="128"/>
      <c r="AG8" s="143"/>
      <c r="AH8" s="143"/>
      <c r="AI8" s="143"/>
      <c r="AJ8" s="145"/>
    </row>
    <row r="9" spans="1:36">
      <c r="A9" s="118">
        <v>1</v>
      </c>
      <c r="B9" s="118">
        <v>2</v>
      </c>
      <c r="C9" s="119">
        <v>3</v>
      </c>
      <c r="D9" s="118">
        <v>4</v>
      </c>
      <c r="E9" s="118">
        <v>5</v>
      </c>
      <c r="F9" s="119">
        <v>6</v>
      </c>
      <c r="G9" s="118">
        <v>7</v>
      </c>
      <c r="H9" s="118">
        <v>8</v>
      </c>
      <c r="I9" s="119">
        <v>9</v>
      </c>
      <c r="J9" s="118">
        <v>10</v>
      </c>
      <c r="K9" s="118">
        <v>11</v>
      </c>
      <c r="L9" s="119">
        <v>12</v>
      </c>
      <c r="M9" s="118">
        <v>13</v>
      </c>
      <c r="N9" s="118">
        <v>14</v>
      </c>
      <c r="O9" s="119">
        <v>15</v>
      </c>
      <c r="P9" s="118">
        <v>16</v>
      </c>
      <c r="Q9" s="82">
        <v>17</v>
      </c>
      <c r="R9" s="83">
        <v>18</v>
      </c>
      <c r="S9" s="82">
        <v>19</v>
      </c>
      <c r="T9" s="82">
        <v>20</v>
      </c>
      <c r="U9" s="83">
        <v>21</v>
      </c>
      <c r="V9" s="82">
        <v>22</v>
      </c>
      <c r="W9" s="82">
        <v>23</v>
      </c>
      <c r="X9" s="83">
        <v>24</v>
      </c>
      <c r="Y9" s="82">
        <v>25</v>
      </c>
      <c r="Z9" s="82">
        <v>26</v>
      </c>
      <c r="AA9" s="83">
        <v>27</v>
      </c>
      <c r="AB9" s="82">
        <v>28</v>
      </c>
      <c r="AC9" s="82">
        <v>29</v>
      </c>
      <c r="AD9" s="83">
        <v>30</v>
      </c>
      <c r="AE9" s="82">
        <v>31</v>
      </c>
      <c r="AF9" s="82">
        <v>32</v>
      </c>
      <c r="AG9" s="83">
        <v>33</v>
      </c>
      <c r="AH9" s="82">
        <v>34</v>
      </c>
      <c r="AI9" s="82">
        <v>35</v>
      </c>
      <c r="AJ9" s="82">
        <v>36</v>
      </c>
    </row>
    <row r="10" spans="1:36" ht="15.75">
      <c r="A10" s="120">
        <v>1</v>
      </c>
      <c r="B10" s="121" t="s">
        <v>107</v>
      </c>
      <c r="C10" s="122">
        <v>4</v>
      </c>
      <c r="D10" s="122">
        <v>2</v>
      </c>
      <c r="E10" s="122">
        <v>2</v>
      </c>
      <c r="F10" s="122">
        <v>0</v>
      </c>
      <c r="G10" s="122">
        <v>3</v>
      </c>
      <c r="H10" s="122">
        <v>6</v>
      </c>
      <c r="I10" s="122">
        <v>4</v>
      </c>
      <c r="J10" s="122">
        <v>2</v>
      </c>
      <c r="K10" s="122">
        <v>2</v>
      </c>
      <c r="L10" s="122">
        <v>1</v>
      </c>
      <c r="M10" s="122">
        <v>0</v>
      </c>
      <c r="N10" s="122">
        <v>2</v>
      </c>
      <c r="O10" s="122">
        <v>2</v>
      </c>
      <c r="P10" s="122">
        <v>2</v>
      </c>
      <c r="Q10" s="87">
        <f>SUM(C10:P10)</f>
        <v>32</v>
      </c>
      <c r="R10" s="86">
        <v>0</v>
      </c>
      <c r="S10" s="86">
        <v>0</v>
      </c>
      <c r="T10" s="86">
        <v>0</v>
      </c>
      <c r="U10" s="86">
        <v>32</v>
      </c>
      <c r="V10" s="86">
        <v>32</v>
      </c>
      <c r="W10" s="86">
        <v>0</v>
      </c>
      <c r="X10" s="86">
        <v>24</v>
      </c>
      <c r="Y10" s="86">
        <v>24</v>
      </c>
      <c r="Z10" s="86">
        <v>26</v>
      </c>
      <c r="AA10" s="86">
        <v>18</v>
      </c>
      <c r="AB10" s="86">
        <v>0</v>
      </c>
      <c r="AC10" s="88">
        <v>0</v>
      </c>
      <c r="AD10" s="86">
        <v>29</v>
      </c>
      <c r="AE10" s="86">
        <v>3</v>
      </c>
      <c r="AF10" s="86">
        <v>0</v>
      </c>
      <c r="AG10" s="86">
        <v>0</v>
      </c>
      <c r="AH10" s="86">
        <v>0</v>
      </c>
      <c r="AI10" s="86">
        <v>0</v>
      </c>
      <c r="AJ10" s="86">
        <v>0</v>
      </c>
    </row>
    <row r="11" spans="1:36" ht="15.75">
      <c r="A11" s="120">
        <v>2</v>
      </c>
      <c r="B11" s="121" t="s">
        <v>108</v>
      </c>
      <c r="C11" s="122">
        <v>1</v>
      </c>
      <c r="D11" s="122">
        <v>0</v>
      </c>
      <c r="E11" s="122">
        <v>2</v>
      </c>
      <c r="F11" s="122">
        <v>0</v>
      </c>
      <c r="G11" s="122">
        <v>1</v>
      </c>
      <c r="H11" s="122">
        <v>0</v>
      </c>
      <c r="I11" s="122">
        <v>1</v>
      </c>
      <c r="J11" s="122">
        <v>3</v>
      </c>
      <c r="K11" s="122">
        <v>0</v>
      </c>
      <c r="L11" s="122">
        <v>0</v>
      </c>
      <c r="M11" s="122">
        <v>0</v>
      </c>
      <c r="N11" s="122">
        <v>5</v>
      </c>
      <c r="O11" s="122">
        <v>2</v>
      </c>
      <c r="P11" s="122">
        <v>1</v>
      </c>
      <c r="Q11" s="87">
        <f t="shared" ref="Q11:Q22" si="0">SUM(C11:P11)</f>
        <v>16</v>
      </c>
      <c r="R11" s="86">
        <v>0</v>
      </c>
      <c r="S11" s="86">
        <v>0</v>
      </c>
      <c r="T11" s="86">
        <v>2</v>
      </c>
      <c r="U11" s="86">
        <v>14</v>
      </c>
      <c r="V11" s="86">
        <v>16</v>
      </c>
      <c r="W11" s="86">
        <v>3</v>
      </c>
      <c r="X11" s="86">
        <v>13</v>
      </c>
      <c r="Y11" s="86">
        <v>13</v>
      </c>
      <c r="Z11" s="86">
        <v>11</v>
      </c>
      <c r="AA11" s="86">
        <v>11</v>
      </c>
      <c r="AB11" s="86">
        <v>0</v>
      </c>
      <c r="AC11" s="88">
        <v>0</v>
      </c>
      <c r="AD11" s="86">
        <v>16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6">
        <v>0</v>
      </c>
    </row>
    <row r="12" spans="1:36" ht="15.75">
      <c r="A12" s="120">
        <v>3</v>
      </c>
      <c r="B12" s="121" t="s">
        <v>119</v>
      </c>
      <c r="C12" s="122">
        <v>4</v>
      </c>
      <c r="D12" s="122">
        <v>0</v>
      </c>
      <c r="E12" s="122">
        <v>0</v>
      </c>
      <c r="F12" s="122">
        <v>2</v>
      </c>
      <c r="G12" s="122">
        <v>4</v>
      </c>
      <c r="H12" s="122">
        <v>1</v>
      </c>
      <c r="I12" s="122">
        <v>2</v>
      </c>
      <c r="J12" s="122">
        <v>0</v>
      </c>
      <c r="K12" s="122">
        <v>3</v>
      </c>
      <c r="L12" s="122">
        <v>0</v>
      </c>
      <c r="M12" s="122">
        <v>0</v>
      </c>
      <c r="N12" s="122">
        <v>3</v>
      </c>
      <c r="O12" s="122">
        <v>3</v>
      </c>
      <c r="P12" s="122">
        <v>4</v>
      </c>
      <c r="Q12" s="87">
        <f t="shared" si="0"/>
        <v>26</v>
      </c>
      <c r="R12" s="86">
        <v>0</v>
      </c>
      <c r="S12" s="86">
        <v>0</v>
      </c>
      <c r="T12" s="86">
        <v>6</v>
      </c>
      <c r="U12" s="86">
        <v>20</v>
      </c>
      <c r="V12" s="86">
        <v>26</v>
      </c>
      <c r="W12" s="86">
        <v>0</v>
      </c>
      <c r="X12" s="86">
        <v>20</v>
      </c>
      <c r="Y12" s="86">
        <v>20</v>
      </c>
      <c r="Z12" s="86">
        <v>10</v>
      </c>
      <c r="AA12" s="86">
        <v>5</v>
      </c>
      <c r="AB12" s="86">
        <v>0</v>
      </c>
      <c r="AC12" s="88">
        <v>0</v>
      </c>
      <c r="AD12" s="86">
        <v>22</v>
      </c>
      <c r="AE12" s="86">
        <v>4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</row>
    <row r="13" spans="1:36" ht="15.75">
      <c r="A13" s="120">
        <v>4</v>
      </c>
      <c r="B13" s="121" t="s">
        <v>109</v>
      </c>
      <c r="C13" s="122">
        <v>0</v>
      </c>
      <c r="D13" s="122">
        <v>3</v>
      </c>
      <c r="E13" s="122">
        <v>0</v>
      </c>
      <c r="F13" s="122">
        <v>1</v>
      </c>
      <c r="G13" s="122">
        <v>5</v>
      </c>
      <c r="H13" s="122">
        <v>3</v>
      </c>
      <c r="I13" s="122">
        <v>0</v>
      </c>
      <c r="J13" s="122">
        <v>4</v>
      </c>
      <c r="K13" s="122">
        <v>2</v>
      </c>
      <c r="L13" s="122">
        <v>1</v>
      </c>
      <c r="M13" s="122">
        <v>0</v>
      </c>
      <c r="N13" s="122">
        <v>12</v>
      </c>
      <c r="O13" s="122">
        <v>3</v>
      </c>
      <c r="P13" s="122">
        <v>2</v>
      </c>
      <c r="Q13" s="87">
        <f t="shared" si="0"/>
        <v>36</v>
      </c>
      <c r="R13" s="86">
        <v>0</v>
      </c>
      <c r="S13" s="86">
        <v>0</v>
      </c>
      <c r="T13" s="86">
        <v>4</v>
      </c>
      <c r="U13" s="86">
        <v>32</v>
      </c>
      <c r="V13" s="86">
        <v>36</v>
      </c>
      <c r="W13" s="86">
        <v>0</v>
      </c>
      <c r="X13" s="86">
        <v>19</v>
      </c>
      <c r="Y13" s="86">
        <v>19</v>
      </c>
      <c r="Z13" s="86">
        <v>14</v>
      </c>
      <c r="AA13" s="86">
        <v>12</v>
      </c>
      <c r="AB13" s="86">
        <v>0</v>
      </c>
      <c r="AC13" s="88">
        <v>0</v>
      </c>
      <c r="AD13" s="86">
        <v>34</v>
      </c>
      <c r="AE13" s="86">
        <v>2</v>
      </c>
      <c r="AF13" s="86">
        <v>0</v>
      </c>
      <c r="AG13" s="86">
        <v>0</v>
      </c>
      <c r="AH13" s="86">
        <v>2</v>
      </c>
      <c r="AI13" s="86">
        <v>1</v>
      </c>
      <c r="AJ13" s="86"/>
    </row>
    <row r="14" spans="1:36" ht="15.75">
      <c r="A14" s="120">
        <v>5</v>
      </c>
      <c r="B14" s="121" t="s">
        <v>110</v>
      </c>
      <c r="C14" s="122">
        <v>2</v>
      </c>
      <c r="D14" s="122">
        <v>1</v>
      </c>
      <c r="E14" s="122">
        <v>1</v>
      </c>
      <c r="F14" s="122">
        <v>1</v>
      </c>
      <c r="G14" s="122">
        <v>4</v>
      </c>
      <c r="H14" s="122">
        <v>6</v>
      </c>
      <c r="I14" s="122">
        <v>2</v>
      </c>
      <c r="J14" s="122">
        <v>0</v>
      </c>
      <c r="K14" s="122">
        <v>2</v>
      </c>
      <c r="L14" s="122">
        <v>2</v>
      </c>
      <c r="M14" s="122">
        <v>1</v>
      </c>
      <c r="N14" s="122">
        <v>6</v>
      </c>
      <c r="O14" s="122">
        <v>5</v>
      </c>
      <c r="P14" s="122">
        <v>4</v>
      </c>
      <c r="Q14" s="87">
        <f t="shared" si="0"/>
        <v>37</v>
      </c>
      <c r="R14" s="86">
        <v>28</v>
      </c>
      <c r="S14" s="86">
        <v>9</v>
      </c>
      <c r="T14" s="86">
        <v>0</v>
      </c>
      <c r="U14" s="86">
        <v>0</v>
      </c>
      <c r="V14" s="86">
        <v>37</v>
      </c>
      <c r="W14" s="86">
        <v>0</v>
      </c>
      <c r="X14" s="86">
        <v>30</v>
      </c>
      <c r="Y14" s="86">
        <v>30</v>
      </c>
      <c r="Z14" s="86">
        <v>18</v>
      </c>
      <c r="AA14" s="86">
        <v>4</v>
      </c>
      <c r="AB14" s="86">
        <v>0</v>
      </c>
      <c r="AC14" s="88">
        <v>0</v>
      </c>
      <c r="AD14" s="86">
        <v>34</v>
      </c>
      <c r="AE14" s="86">
        <v>3</v>
      </c>
      <c r="AF14" s="86">
        <v>0</v>
      </c>
      <c r="AG14" s="86">
        <v>0</v>
      </c>
      <c r="AH14" s="86">
        <v>0</v>
      </c>
      <c r="AI14" s="86">
        <v>0</v>
      </c>
      <c r="AJ14" s="86">
        <v>0</v>
      </c>
    </row>
    <row r="15" spans="1:36" ht="15.75">
      <c r="A15" s="120">
        <v>6</v>
      </c>
      <c r="B15" s="121" t="s">
        <v>111</v>
      </c>
      <c r="C15" s="122">
        <v>1</v>
      </c>
      <c r="D15" s="122">
        <v>1</v>
      </c>
      <c r="E15" s="122">
        <v>1</v>
      </c>
      <c r="F15" s="122">
        <v>0</v>
      </c>
      <c r="G15" s="122">
        <v>1</v>
      </c>
      <c r="H15" s="122">
        <v>2</v>
      </c>
      <c r="I15" s="122">
        <v>1</v>
      </c>
      <c r="J15" s="122">
        <v>1</v>
      </c>
      <c r="K15" s="122">
        <v>0</v>
      </c>
      <c r="L15" s="122">
        <v>0</v>
      </c>
      <c r="M15" s="122">
        <v>0</v>
      </c>
      <c r="N15" s="122">
        <v>1</v>
      </c>
      <c r="O15" s="122">
        <v>1</v>
      </c>
      <c r="P15" s="122">
        <v>0</v>
      </c>
      <c r="Q15" s="87">
        <f t="shared" si="0"/>
        <v>10</v>
      </c>
      <c r="R15" s="86">
        <v>0</v>
      </c>
      <c r="S15" s="86">
        <v>9</v>
      </c>
      <c r="T15" s="86">
        <v>1</v>
      </c>
      <c r="U15" s="86">
        <v>0</v>
      </c>
      <c r="V15" s="86">
        <v>10</v>
      </c>
      <c r="W15" s="86">
        <v>0</v>
      </c>
      <c r="X15" s="86">
        <v>8</v>
      </c>
      <c r="Y15" s="86">
        <v>8</v>
      </c>
      <c r="Z15" s="86">
        <v>8</v>
      </c>
      <c r="AA15" s="86">
        <v>1</v>
      </c>
      <c r="AB15" s="86">
        <v>0</v>
      </c>
      <c r="AC15" s="88">
        <v>0</v>
      </c>
      <c r="AD15" s="86">
        <v>8</v>
      </c>
      <c r="AE15" s="86">
        <v>2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</row>
    <row r="16" spans="1:36" ht="15.75">
      <c r="A16" s="120">
        <v>7</v>
      </c>
      <c r="B16" s="121" t="s">
        <v>112</v>
      </c>
      <c r="C16" s="122">
        <v>5</v>
      </c>
      <c r="D16" s="122">
        <v>3</v>
      </c>
      <c r="E16" s="122">
        <v>5</v>
      </c>
      <c r="F16" s="122">
        <v>8</v>
      </c>
      <c r="G16" s="122">
        <v>2</v>
      </c>
      <c r="H16" s="122">
        <v>5</v>
      </c>
      <c r="I16" s="122">
        <v>2</v>
      </c>
      <c r="J16" s="122">
        <v>0</v>
      </c>
      <c r="K16" s="122">
        <v>2</v>
      </c>
      <c r="L16" s="122">
        <v>4</v>
      </c>
      <c r="M16" s="122">
        <v>6</v>
      </c>
      <c r="N16" s="122">
        <v>11</v>
      </c>
      <c r="O16" s="122">
        <v>7</v>
      </c>
      <c r="P16" s="122">
        <v>6</v>
      </c>
      <c r="Q16" s="87">
        <f>P16+O16+N16+M16+L16+K16+J16+I16+H16+G16+F16+E16+D16+C16</f>
        <v>66</v>
      </c>
      <c r="R16" s="86">
        <v>2</v>
      </c>
      <c r="S16" s="86">
        <v>0</v>
      </c>
      <c r="T16" s="86">
        <v>3</v>
      </c>
      <c r="U16" s="86">
        <v>61</v>
      </c>
      <c r="V16" s="86">
        <v>66</v>
      </c>
      <c r="W16" s="86">
        <v>0</v>
      </c>
      <c r="X16" s="86">
        <v>51</v>
      </c>
      <c r="Y16" s="86">
        <v>51</v>
      </c>
      <c r="Z16" s="86">
        <v>38</v>
      </c>
      <c r="AA16" s="86">
        <v>26</v>
      </c>
      <c r="AB16" s="86">
        <v>0</v>
      </c>
      <c r="AC16" s="88"/>
      <c r="AD16" s="86">
        <v>66</v>
      </c>
      <c r="AE16" s="86">
        <v>0</v>
      </c>
      <c r="AF16" s="86">
        <v>0</v>
      </c>
      <c r="AG16" s="86"/>
      <c r="AH16" s="86">
        <v>4</v>
      </c>
      <c r="AI16" s="86">
        <v>1</v>
      </c>
      <c r="AJ16" s="86">
        <v>0</v>
      </c>
    </row>
    <row r="17" spans="1:36" ht="15.75">
      <c r="A17" s="120">
        <v>8</v>
      </c>
      <c r="B17" s="121" t="s">
        <v>113</v>
      </c>
      <c r="C17" s="122">
        <v>0</v>
      </c>
      <c r="D17" s="122">
        <v>0</v>
      </c>
      <c r="E17" s="122">
        <v>0</v>
      </c>
      <c r="F17" s="122">
        <v>1</v>
      </c>
      <c r="G17" s="122">
        <v>3</v>
      </c>
      <c r="H17" s="122">
        <v>1</v>
      </c>
      <c r="I17" s="122">
        <v>0</v>
      </c>
      <c r="J17" s="122">
        <v>1</v>
      </c>
      <c r="K17" s="122">
        <v>0</v>
      </c>
      <c r="L17" s="122">
        <v>1</v>
      </c>
      <c r="M17" s="122">
        <v>0</v>
      </c>
      <c r="N17" s="122">
        <v>2</v>
      </c>
      <c r="O17" s="122">
        <v>0</v>
      </c>
      <c r="P17" s="122">
        <v>1</v>
      </c>
      <c r="Q17" s="87">
        <f t="shared" si="0"/>
        <v>10</v>
      </c>
      <c r="R17" s="86">
        <v>8</v>
      </c>
      <c r="S17" s="86">
        <v>0</v>
      </c>
      <c r="T17" s="86">
        <v>0</v>
      </c>
      <c r="U17" s="86">
        <v>2</v>
      </c>
      <c r="V17" s="86">
        <v>10</v>
      </c>
      <c r="W17" s="86">
        <v>0</v>
      </c>
      <c r="X17" s="86">
        <v>5</v>
      </c>
      <c r="Y17" s="86">
        <v>5</v>
      </c>
      <c r="Z17" s="86">
        <v>7</v>
      </c>
      <c r="AA17" s="86">
        <v>4</v>
      </c>
      <c r="AB17" s="86">
        <v>0</v>
      </c>
      <c r="AC17" s="88">
        <v>0</v>
      </c>
      <c r="AD17" s="86">
        <v>10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6">
        <v>0</v>
      </c>
    </row>
    <row r="18" spans="1:36" ht="15.75">
      <c r="A18" s="120">
        <v>9</v>
      </c>
      <c r="B18" s="121" t="s">
        <v>114</v>
      </c>
      <c r="C18" s="122">
        <v>0</v>
      </c>
      <c r="D18" s="122">
        <v>1</v>
      </c>
      <c r="E18" s="122">
        <v>0</v>
      </c>
      <c r="F18" s="122">
        <v>0</v>
      </c>
      <c r="G18" s="122">
        <v>4</v>
      </c>
      <c r="H18" s="122">
        <v>2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3</v>
      </c>
      <c r="O18" s="122">
        <v>3</v>
      </c>
      <c r="P18" s="122">
        <v>3</v>
      </c>
      <c r="Q18" s="87">
        <f t="shared" si="0"/>
        <v>16</v>
      </c>
      <c r="R18" s="86">
        <v>1</v>
      </c>
      <c r="S18" s="86">
        <v>0</v>
      </c>
      <c r="T18" s="86">
        <v>0</v>
      </c>
      <c r="U18" s="86">
        <v>15</v>
      </c>
      <c r="V18" s="86">
        <v>16</v>
      </c>
      <c r="W18" s="86">
        <v>0</v>
      </c>
      <c r="X18" s="86">
        <v>7</v>
      </c>
      <c r="Y18" s="86">
        <v>7</v>
      </c>
      <c r="Z18" s="86">
        <v>5</v>
      </c>
      <c r="AA18" s="86">
        <v>1</v>
      </c>
      <c r="AB18" s="86">
        <v>0</v>
      </c>
      <c r="AC18" s="88">
        <v>0</v>
      </c>
      <c r="AD18" s="86">
        <v>14</v>
      </c>
      <c r="AE18" s="86">
        <v>2</v>
      </c>
      <c r="AF18" s="86">
        <v>0</v>
      </c>
      <c r="AG18" s="86">
        <v>0</v>
      </c>
      <c r="AH18" s="86">
        <v>0</v>
      </c>
      <c r="AI18" s="86">
        <v>0</v>
      </c>
      <c r="AJ18" s="86">
        <v>0</v>
      </c>
    </row>
    <row r="19" spans="1:36" ht="15.75">
      <c r="A19" s="120">
        <v>10</v>
      </c>
      <c r="B19" s="121" t="s">
        <v>115</v>
      </c>
      <c r="C19" s="122">
        <v>0</v>
      </c>
      <c r="D19" s="122">
        <v>0</v>
      </c>
      <c r="E19" s="122">
        <v>0</v>
      </c>
      <c r="F19" s="122">
        <v>1</v>
      </c>
      <c r="G19" s="122">
        <v>0</v>
      </c>
      <c r="H19" s="122">
        <v>0</v>
      </c>
      <c r="I19" s="122">
        <v>1</v>
      </c>
      <c r="J19" s="122">
        <v>0</v>
      </c>
      <c r="K19" s="122">
        <v>1</v>
      </c>
      <c r="L19" s="122">
        <v>0</v>
      </c>
      <c r="M19" s="122">
        <v>0</v>
      </c>
      <c r="N19" s="122">
        <v>1</v>
      </c>
      <c r="O19" s="122">
        <v>0</v>
      </c>
      <c r="P19" s="122">
        <v>0</v>
      </c>
      <c r="Q19" s="87">
        <f t="shared" si="0"/>
        <v>4</v>
      </c>
      <c r="R19" s="86">
        <v>0</v>
      </c>
      <c r="S19" s="86">
        <v>0</v>
      </c>
      <c r="T19" s="86">
        <v>0</v>
      </c>
      <c r="U19" s="86">
        <v>4</v>
      </c>
      <c r="V19" s="86">
        <v>4</v>
      </c>
      <c r="W19" s="86"/>
      <c r="X19" s="86">
        <v>4</v>
      </c>
      <c r="Y19" s="86">
        <v>4</v>
      </c>
      <c r="Z19" s="86">
        <v>7</v>
      </c>
      <c r="AA19" s="86">
        <v>6</v>
      </c>
      <c r="AB19" s="86">
        <v>0</v>
      </c>
      <c r="AC19" s="88">
        <v>0</v>
      </c>
      <c r="AD19" s="86">
        <v>3</v>
      </c>
      <c r="AE19" s="86">
        <v>1</v>
      </c>
      <c r="AF19" s="86">
        <v>0</v>
      </c>
      <c r="AG19" s="86">
        <v>0</v>
      </c>
      <c r="AH19" s="86">
        <v>0</v>
      </c>
      <c r="AI19" s="86">
        <v>0</v>
      </c>
      <c r="AJ19" s="86">
        <v>0</v>
      </c>
    </row>
    <row r="20" spans="1:36" ht="15.75">
      <c r="A20" s="120">
        <v>11</v>
      </c>
      <c r="B20" s="121" t="s">
        <v>116</v>
      </c>
      <c r="C20" s="122">
        <v>1</v>
      </c>
      <c r="D20" s="122">
        <v>1</v>
      </c>
      <c r="E20" s="122">
        <v>2</v>
      </c>
      <c r="F20" s="122">
        <v>0</v>
      </c>
      <c r="G20" s="122">
        <v>1</v>
      </c>
      <c r="H20" s="122">
        <v>1</v>
      </c>
      <c r="I20" s="122">
        <v>0</v>
      </c>
      <c r="J20" s="122">
        <v>1</v>
      </c>
      <c r="K20" s="122">
        <v>1</v>
      </c>
      <c r="L20" s="122">
        <v>1</v>
      </c>
      <c r="M20" s="122">
        <v>0</v>
      </c>
      <c r="N20" s="122">
        <v>2</v>
      </c>
      <c r="O20" s="122">
        <v>0</v>
      </c>
      <c r="P20" s="122">
        <v>0</v>
      </c>
      <c r="Q20" s="87">
        <v>9</v>
      </c>
      <c r="R20" s="86">
        <v>8</v>
      </c>
      <c r="S20" s="86">
        <v>0</v>
      </c>
      <c r="T20" s="86">
        <v>1</v>
      </c>
      <c r="U20" s="86">
        <v>0</v>
      </c>
      <c r="V20" s="86">
        <v>9</v>
      </c>
      <c r="W20" s="86">
        <v>0</v>
      </c>
      <c r="X20" s="86">
        <v>5</v>
      </c>
      <c r="Y20" s="86">
        <v>5</v>
      </c>
      <c r="Z20" s="86">
        <v>6</v>
      </c>
      <c r="AA20" s="86">
        <v>5</v>
      </c>
      <c r="AB20" s="86">
        <v>0</v>
      </c>
      <c r="AC20" s="88">
        <v>0</v>
      </c>
      <c r="AD20" s="86">
        <v>8</v>
      </c>
      <c r="AE20" s="86">
        <v>1</v>
      </c>
      <c r="AF20" s="86">
        <v>0</v>
      </c>
      <c r="AG20" s="86">
        <v>0</v>
      </c>
      <c r="AH20" s="86">
        <v>0</v>
      </c>
      <c r="AI20" s="86">
        <v>0</v>
      </c>
      <c r="AJ20" s="86">
        <v>0</v>
      </c>
    </row>
    <row r="21" spans="1:36" ht="15.75">
      <c r="A21" s="120">
        <v>12</v>
      </c>
      <c r="B21" s="121" t="s">
        <v>117</v>
      </c>
      <c r="C21" s="122">
        <v>0</v>
      </c>
      <c r="D21" s="122">
        <v>1</v>
      </c>
      <c r="E21" s="122">
        <v>1</v>
      </c>
      <c r="F21" s="122">
        <v>1</v>
      </c>
      <c r="G21" s="122">
        <v>1</v>
      </c>
      <c r="H21" s="122">
        <v>0</v>
      </c>
      <c r="I21" s="122">
        <v>0</v>
      </c>
      <c r="J21" s="122">
        <v>0</v>
      </c>
      <c r="K21" s="122">
        <v>1</v>
      </c>
      <c r="L21" s="122">
        <v>0</v>
      </c>
      <c r="M21" s="122">
        <v>2</v>
      </c>
      <c r="N21" s="122">
        <v>0</v>
      </c>
      <c r="O21" s="122">
        <v>1</v>
      </c>
      <c r="P21" s="122">
        <v>1</v>
      </c>
      <c r="Q21" s="87">
        <f t="shared" si="0"/>
        <v>9</v>
      </c>
      <c r="R21" s="86">
        <v>8</v>
      </c>
      <c r="S21" s="86">
        <v>0</v>
      </c>
      <c r="T21" s="86">
        <v>0</v>
      </c>
      <c r="U21" s="86">
        <v>1</v>
      </c>
      <c r="V21" s="86">
        <v>9</v>
      </c>
      <c r="W21" s="86">
        <v>0</v>
      </c>
      <c r="X21" s="86">
        <v>7</v>
      </c>
      <c r="Y21" s="86">
        <v>7</v>
      </c>
      <c r="Z21" s="86">
        <v>7</v>
      </c>
      <c r="AA21" s="86">
        <v>7</v>
      </c>
      <c r="AB21" s="86">
        <v>0</v>
      </c>
      <c r="AC21" s="88">
        <v>0</v>
      </c>
      <c r="AD21" s="86">
        <v>9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6">
        <v>0</v>
      </c>
    </row>
    <row r="22" spans="1:36" ht="15.75">
      <c r="A22" s="120">
        <v>13</v>
      </c>
      <c r="B22" s="121" t="s">
        <v>118</v>
      </c>
      <c r="C22" s="122">
        <v>1</v>
      </c>
      <c r="D22" s="122">
        <v>0</v>
      </c>
      <c r="E22" s="122">
        <v>1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87">
        <f t="shared" si="0"/>
        <v>2</v>
      </c>
      <c r="R22" s="86">
        <v>0</v>
      </c>
      <c r="S22" s="86">
        <v>0</v>
      </c>
      <c r="T22" s="86">
        <v>2</v>
      </c>
      <c r="U22" s="86">
        <v>0</v>
      </c>
      <c r="V22" s="86">
        <v>2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86">
        <v>2</v>
      </c>
      <c r="AC22" s="88">
        <v>0</v>
      </c>
      <c r="AD22" s="86">
        <v>2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6">
        <v>0</v>
      </c>
    </row>
    <row r="23" spans="1:36" ht="16.5">
      <c r="A23" s="154" t="s">
        <v>31</v>
      </c>
      <c r="B23" s="155"/>
      <c r="C23" s="123">
        <f>SUM(C10:C22)</f>
        <v>19</v>
      </c>
      <c r="D23" s="123">
        <f t="shared" ref="D23:M23" si="1">SUM(D10:D22)</f>
        <v>13</v>
      </c>
      <c r="E23" s="123">
        <f t="shared" si="1"/>
        <v>15</v>
      </c>
      <c r="F23" s="123">
        <f t="shared" si="1"/>
        <v>15</v>
      </c>
      <c r="G23" s="123">
        <f t="shared" si="1"/>
        <v>29</v>
      </c>
      <c r="H23" s="123">
        <f t="shared" si="1"/>
        <v>27</v>
      </c>
      <c r="I23" s="123">
        <f t="shared" si="1"/>
        <v>13</v>
      </c>
      <c r="J23" s="123">
        <f t="shared" si="1"/>
        <v>12</v>
      </c>
      <c r="K23" s="123">
        <f t="shared" si="1"/>
        <v>14</v>
      </c>
      <c r="L23" s="123">
        <f t="shared" si="1"/>
        <v>10</v>
      </c>
      <c r="M23" s="123">
        <f t="shared" si="1"/>
        <v>9</v>
      </c>
      <c r="N23" s="123">
        <f>SUM(N10:N22)</f>
        <v>48</v>
      </c>
      <c r="O23" s="123">
        <f t="shared" ref="O23:AJ23" si="2">SUM(O10:O22)</f>
        <v>27</v>
      </c>
      <c r="P23" s="123">
        <f t="shared" si="2"/>
        <v>24</v>
      </c>
      <c r="Q23" s="87">
        <f>SUM(Q10:Q22)</f>
        <v>273</v>
      </c>
      <c r="R23" s="89">
        <f t="shared" si="2"/>
        <v>55</v>
      </c>
      <c r="S23" s="89">
        <f t="shared" si="2"/>
        <v>18</v>
      </c>
      <c r="T23" s="89">
        <f t="shared" si="2"/>
        <v>19</v>
      </c>
      <c r="U23" s="89">
        <f t="shared" si="2"/>
        <v>181</v>
      </c>
      <c r="V23" s="89">
        <f t="shared" si="2"/>
        <v>273</v>
      </c>
      <c r="W23" s="89">
        <f t="shared" si="2"/>
        <v>3</v>
      </c>
      <c r="X23" s="89">
        <f t="shared" si="2"/>
        <v>193</v>
      </c>
      <c r="Y23" s="89">
        <f t="shared" si="2"/>
        <v>193</v>
      </c>
      <c r="Z23" s="89">
        <f t="shared" si="2"/>
        <v>157</v>
      </c>
      <c r="AA23" s="89">
        <f t="shared" si="2"/>
        <v>100</v>
      </c>
      <c r="AB23" s="89">
        <f t="shared" si="2"/>
        <v>2</v>
      </c>
      <c r="AC23" s="90">
        <v>0</v>
      </c>
      <c r="AD23" s="89">
        <f t="shared" si="2"/>
        <v>255</v>
      </c>
      <c r="AE23" s="89">
        <f t="shared" si="2"/>
        <v>18</v>
      </c>
      <c r="AF23" s="89">
        <f t="shared" si="2"/>
        <v>0</v>
      </c>
      <c r="AG23" s="89">
        <f t="shared" si="2"/>
        <v>0</v>
      </c>
      <c r="AH23" s="89">
        <f t="shared" si="2"/>
        <v>6</v>
      </c>
      <c r="AI23" s="89">
        <f t="shared" si="2"/>
        <v>2</v>
      </c>
      <c r="AJ23" s="89">
        <f t="shared" si="2"/>
        <v>0</v>
      </c>
    </row>
  </sheetData>
  <mergeCells count="27">
    <mergeCell ref="A1:AJ1"/>
    <mergeCell ref="A3:B3"/>
    <mergeCell ref="A4:B4"/>
    <mergeCell ref="A6:A8"/>
    <mergeCell ref="B6:B8"/>
    <mergeCell ref="C6:P6"/>
    <mergeCell ref="Q6:Q8"/>
    <mergeCell ref="R6:U6"/>
    <mergeCell ref="V6:AA6"/>
    <mergeCell ref="AB6:AB8"/>
    <mergeCell ref="AI6:AI8"/>
    <mergeCell ref="AJ6:AJ8"/>
    <mergeCell ref="C7:I7"/>
    <mergeCell ref="J7:P7"/>
    <mergeCell ref="R7:R8"/>
    <mergeCell ref="S7:S8"/>
    <mergeCell ref="AH6:AH8"/>
    <mergeCell ref="A23:B23"/>
    <mergeCell ref="V7:W7"/>
    <mergeCell ref="X7:Y7"/>
    <mergeCell ref="AD7:AD8"/>
    <mergeCell ref="AE7:AE8"/>
    <mergeCell ref="T7:U7"/>
    <mergeCell ref="AF7:AF8"/>
    <mergeCell ref="AG7:AG8"/>
    <mergeCell ref="AC6:AC8"/>
    <mergeCell ref="AD6:A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560E-B57F-4EED-89C3-A4D24B6410FE}">
  <dimension ref="A1:AJ23"/>
  <sheetViews>
    <sheetView topLeftCell="A3" workbookViewId="0">
      <selection activeCell="H4" sqref="H4"/>
    </sheetView>
  </sheetViews>
  <sheetFormatPr defaultRowHeight="15"/>
  <cols>
    <col min="1" max="1" width="5" customWidth="1"/>
    <col min="2" max="2" width="14" customWidth="1"/>
    <col min="3" max="3" width="5.5703125" customWidth="1"/>
    <col min="4" max="5" width="5.42578125" customWidth="1"/>
    <col min="6" max="6" width="5" customWidth="1"/>
    <col min="7" max="7" width="5.28515625" customWidth="1"/>
    <col min="8" max="8" width="5.5703125" customWidth="1"/>
    <col min="9" max="10" width="5.7109375" customWidth="1"/>
    <col min="11" max="11" width="5.42578125" customWidth="1"/>
    <col min="12" max="12" width="6" customWidth="1"/>
    <col min="13" max="13" width="5.85546875" customWidth="1"/>
    <col min="14" max="14" width="6.28515625" customWidth="1"/>
    <col min="15" max="15" width="6.42578125" customWidth="1"/>
    <col min="16" max="16" width="6.28515625" customWidth="1"/>
    <col min="17" max="17" width="6.5703125" customWidth="1"/>
    <col min="18" max="18" width="6" customWidth="1"/>
    <col min="19" max="20" width="6.140625" customWidth="1"/>
    <col min="21" max="21" width="6.28515625" customWidth="1"/>
    <col min="22" max="22" width="6.42578125" customWidth="1"/>
    <col min="23" max="23" width="6.5703125" customWidth="1"/>
    <col min="24" max="24" width="6.42578125" customWidth="1"/>
    <col min="25" max="25" width="7" customWidth="1"/>
    <col min="26" max="26" width="6.42578125" customWidth="1"/>
    <col min="27" max="29" width="6.85546875" customWidth="1"/>
    <col min="30" max="30" width="7.42578125" customWidth="1"/>
    <col min="31" max="31" width="8.140625" customWidth="1"/>
    <col min="32" max="32" width="7.42578125" customWidth="1"/>
    <col min="33" max="33" width="7.140625" customWidth="1"/>
    <col min="34" max="34" width="7.7109375" customWidth="1"/>
    <col min="35" max="35" width="8.140625" customWidth="1"/>
  </cols>
  <sheetData>
    <row r="1" spans="1:36" ht="20.25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</row>
    <row r="2" spans="1:36" ht="16.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</row>
    <row r="3" spans="1:36" ht="16.5">
      <c r="A3" s="140" t="s">
        <v>38</v>
      </c>
      <c r="B3" s="140"/>
      <c r="C3" s="72" t="s">
        <v>40</v>
      </c>
      <c r="D3" s="72" t="s">
        <v>104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</row>
    <row r="4" spans="1:36" ht="16.5">
      <c r="A4" s="140" t="s">
        <v>1</v>
      </c>
      <c r="B4" s="140"/>
      <c r="C4" s="72" t="s">
        <v>133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 t="s">
        <v>128</v>
      </c>
    </row>
    <row r="5" spans="1:36" ht="16.5">
      <c r="A5" s="73" t="s">
        <v>2</v>
      </c>
      <c r="B5" s="73"/>
      <c r="C5" s="72"/>
      <c r="D5" s="74">
        <v>2025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</row>
    <row r="6" spans="1:36">
      <c r="A6" s="148" t="s">
        <v>3</v>
      </c>
      <c r="B6" s="148" t="s">
        <v>106</v>
      </c>
      <c r="C6" s="151" t="s">
        <v>4</v>
      </c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3"/>
      <c r="Q6" s="142" t="s">
        <v>5</v>
      </c>
      <c r="R6" s="129" t="s">
        <v>32</v>
      </c>
      <c r="S6" s="130"/>
      <c r="T6" s="130"/>
      <c r="U6" s="131"/>
      <c r="V6" s="136" t="s">
        <v>6</v>
      </c>
      <c r="W6" s="137"/>
      <c r="X6" s="137"/>
      <c r="Y6" s="137"/>
      <c r="Z6" s="137"/>
      <c r="AA6" s="138"/>
      <c r="AB6" s="126" t="s">
        <v>7</v>
      </c>
      <c r="AC6" s="141" t="s">
        <v>8</v>
      </c>
      <c r="AD6" s="136" t="s">
        <v>9</v>
      </c>
      <c r="AE6" s="137"/>
      <c r="AF6" s="137"/>
      <c r="AG6" s="138"/>
      <c r="AH6" s="142" t="s">
        <v>10</v>
      </c>
      <c r="AI6" s="142" t="s">
        <v>11</v>
      </c>
      <c r="AJ6" s="145" t="s">
        <v>12</v>
      </c>
    </row>
    <row r="7" spans="1:36">
      <c r="A7" s="149"/>
      <c r="B7" s="149"/>
      <c r="C7" s="151" t="s">
        <v>13</v>
      </c>
      <c r="D7" s="152"/>
      <c r="E7" s="152"/>
      <c r="F7" s="152"/>
      <c r="G7" s="152"/>
      <c r="H7" s="152"/>
      <c r="I7" s="153"/>
      <c r="J7" s="151" t="s">
        <v>14</v>
      </c>
      <c r="K7" s="152"/>
      <c r="L7" s="152"/>
      <c r="M7" s="152"/>
      <c r="N7" s="152"/>
      <c r="O7" s="152"/>
      <c r="P7" s="153"/>
      <c r="Q7" s="144"/>
      <c r="R7" s="132" t="s">
        <v>35</v>
      </c>
      <c r="S7" s="132" t="s">
        <v>36</v>
      </c>
      <c r="T7" s="134" t="s">
        <v>37</v>
      </c>
      <c r="U7" s="135"/>
      <c r="V7" s="146" t="s">
        <v>15</v>
      </c>
      <c r="W7" s="147"/>
      <c r="X7" s="145" t="s">
        <v>16</v>
      </c>
      <c r="Y7" s="145"/>
      <c r="Z7" s="75" t="s">
        <v>17</v>
      </c>
      <c r="AA7" s="75" t="s">
        <v>18</v>
      </c>
      <c r="AB7" s="127"/>
      <c r="AC7" s="141"/>
      <c r="AD7" s="126" t="s">
        <v>19</v>
      </c>
      <c r="AE7" s="126" t="s">
        <v>20</v>
      </c>
      <c r="AF7" s="126" t="s">
        <v>21</v>
      </c>
      <c r="AG7" s="142" t="s">
        <v>22</v>
      </c>
      <c r="AH7" s="144"/>
      <c r="AI7" s="144"/>
      <c r="AJ7" s="145"/>
    </row>
    <row r="8" spans="1:36" ht="22.5">
      <c r="A8" s="150"/>
      <c r="B8" s="150"/>
      <c r="C8" s="114" t="s">
        <v>23</v>
      </c>
      <c r="D8" s="115" t="s">
        <v>24</v>
      </c>
      <c r="E8" s="116" t="s">
        <v>25</v>
      </c>
      <c r="F8" s="117" t="s">
        <v>26</v>
      </c>
      <c r="G8" s="117" t="s">
        <v>27</v>
      </c>
      <c r="H8" s="117" t="s">
        <v>28</v>
      </c>
      <c r="I8" s="114" t="s">
        <v>29</v>
      </c>
      <c r="J8" s="114" t="s">
        <v>23</v>
      </c>
      <c r="K8" s="115" t="s">
        <v>24</v>
      </c>
      <c r="L8" s="116" t="s">
        <v>25</v>
      </c>
      <c r="M8" s="117" t="s">
        <v>26</v>
      </c>
      <c r="N8" s="117" t="s">
        <v>27</v>
      </c>
      <c r="O8" s="117" t="s">
        <v>28</v>
      </c>
      <c r="P8" s="114" t="s">
        <v>29</v>
      </c>
      <c r="Q8" s="143"/>
      <c r="R8" s="133"/>
      <c r="S8" s="133"/>
      <c r="T8" s="79" t="s">
        <v>33</v>
      </c>
      <c r="U8" s="79" t="s">
        <v>34</v>
      </c>
      <c r="V8" s="80" t="s">
        <v>42</v>
      </c>
      <c r="W8" s="80" t="s">
        <v>41</v>
      </c>
      <c r="X8" s="75" t="s">
        <v>30</v>
      </c>
      <c r="Y8" s="75" t="s">
        <v>30</v>
      </c>
      <c r="Z8" s="75" t="s">
        <v>30</v>
      </c>
      <c r="AA8" s="75" t="s">
        <v>30</v>
      </c>
      <c r="AB8" s="128"/>
      <c r="AC8" s="141"/>
      <c r="AD8" s="128"/>
      <c r="AE8" s="128"/>
      <c r="AF8" s="128"/>
      <c r="AG8" s="143"/>
      <c r="AH8" s="143"/>
      <c r="AI8" s="143"/>
      <c r="AJ8" s="145"/>
    </row>
    <row r="9" spans="1:36">
      <c r="A9" s="118">
        <v>1</v>
      </c>
      <c r="B9" s="118">
        <v>2</v>
      </c>
      <c r="C9" s="119">
        <v>3</v>
      </c>
      <c r="D9" s="118">
        <v>4</v>
      </c>
      <c r="E9" s="118">
        <v>5</v>
      </c>
      <c r="F9" s="119">
        <v>6</v>
      </c>
      <c r="G9" s="118">
        <v>7</v>
      </c>
      <c r="H9" s="118">
        <v>8</v>
      </c>
      <c r="I9" s="119">
        <v>9</v>
      </c>
      <c r="J9" s="118">
        <v>10</v>
      </c>
      <c r="K9" s="118">
        <v>11</v>
      </c>
      <c r="L9" s="119">
        <v>12</v>
      </c>
      <c r="M9" s="118">
        <v>13</v>
      </c>
      <c r="N9" s="118">
        <v>14</v>
      </c>
      <c r="O9" s="119">
        <v>15</v>
      </c>
      <c r="P9" s="118">
        <v>16</v>
      </c>
      <c r="Q9" s="82">
        <v>17</v>
      </c>
      <c r="R9" s="83">
        <v>18</v>
      </c>
      <c r="S9" s="82">
        <v>19</v>
      </c>
      <c r="T9" s="82">
        <v>20</v>
      </c>
      <c r="U9" s="83">
        <v>21</v>
      </c>
      <c r="V9" s="82">
        <v>22</v>
      </c>
      <c r="W9" s="82">
        <v>23</v>
      </c>
      <c r="X9" s="83">
        <v>24</v>
      </c>
      <c r="Y9" s="82">
        <v>25</v>
      </c>
      <c r="Z9" s="82">
        <v>26</v>
      </c>
      <c r="AA9" s="83">
        <v>27</v>
      </c>
      <c r="AB9" s="82">
        <v>28</v>
      </c>
      <c r="AC9" s="82">
        <v>29</v>
      </c>
      <c r="AD9" s="83">
        <v>30</v>
      </c>
      <c r="AE9" s="82">
        <v>31</v>
      </c>
      <c r="AF9" s="82">
        <v>32</v>
      </c>
      <c r="AG9" s="83">
        <v>33</v>
      </c>
      <c r="AH9" s="82">
        <v>34</v>
      </c>
      <c r="AI9" s="82">
        <v>35</v>
      </c>
      <c r="AJ9" s="82">
        <v>36</v>
      </c>
    </row>
    <row r="10" spans="1:36" ht="15.75">
      <c r="A10" s="120">
        <v>1</v>
      </c>
      <c r="B10" s="121" t="s">
        <v>107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87">
        <f>SUM(C10:P10)</f>
        <v>0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8">
        <v>0</v>
      </c>
      <c r="AD10" s="86"/>
      <c r="AE10" s="86"/>
      <c r="AF10" s="86"/>
      <c r="AG10" s="86"/>
      <c r="AH10" s="86"/>
      <c r="AI10" s="86"/>
      <c r="AJ10" s="86"/>
    </row>
    <row r="11" spans="1:36" ht="15.75">
      <c r="A11" s="120">
        <v>2</v>
      </c>
      <c r="B11" s="121" t="s">
        <v>108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87">
        <f t="shared" ref="Q11:Q23" si="0">SUM(C11:P11)</f>
        <v>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8">
        <v>0</v>
      </c>
      <c r="AD11" s="86"/>
      <c r="AE11" s="86"/>
      <c r="AF11" s="86"/>
      <c r="AG11" s="86"/>
      <c r="AH11" s="86"/>
      <c r="AI11" s="86"/>
      <c r="AJ11" s="86"/>
    </row>
    <row r="12" spans="1:36" ht="15.75">
      <c r="A12" s="120">
        <v>3</v>
      </c>
      <c r="B12" s="121" t="s">
        <v>119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87">
        <f t="shared" si="0"/>
        <v>0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8">
        <v>0</v>
      </c>
      <c r="AD12" s="86"/>
      <c r="AE12" s="86"/>
      <c r="AF12" s="86"/>
      <c r="AG12" s="86"/>
      <c r="AH12" s="86"/>
      <c r="AI12" s="86"/>
      <c r="AJ12" s="86"/>
    </row>
    <row r="13" spans="1:36" ht="15.75">
      <c r="A13" s="120">
        <v>4</v>
      </c>
      <c r="B13" s="121" t="s">
        <v>109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87">
        <f t="shared" si="0"/>
        <v>0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8">
        <v>0</v>
      </c>
      <c r="AD13" s="86"/>
      <c r="AE13" s="86"/>
      <c r="AF13" s="86"/>
      <c r="AG13" s="86"/>
      <c r="AH13" s="86"/>
      <c r="AI13" s="86"/>
      <c r="AJ13" s="86"/>
    </row>
    <row r="14" spans="1:36" ht="15.75">
      <c r="A14" s="120">
        <v>5</v>
      </c>
      <c r="B14" s="121" t="s">
        <v>110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87">
        <f t="shared" si="0"/>
        <v>0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8">
        <v>0</v>
      </c>
      <c r="AD14" s="86"/>
      <c r="AE14" s="86"/>
      <c r="AF14" s="86"/>
      <c r="AG14" s="86"/>
      <c r="AH14" s="86"/>
      <c r="AI14" s="86"/>
      <c r="AJ14" s="86"/>
    </row>
    <row r="15" spans="1:36" ht="15.75">
      <c r="A15" s="120">
        <v>6</v>
      </c>
      <c r="B15" s="121" t="s">
        <v>111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87">
        <f t="shared" si="0"/>
        <v>0</v>
      </c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8">
        <v>0</v>
      </c>
      <c r="AD15" s="86"/>
      <c r="AE15" s="86"/>
      <c r="AF15" s="86"/>
      <c r="AG15" s="86"/>
      <c r="AH15" s="86"/>
      <c r="AI15" s="86"/>
      <c r="AJ15" s="86"/>
    </row>
    <row r="16" spans="1:36" ht="15.75">
      <c r="A16" s="120">
        <v>7</v>
      </c>
      <c r="B16" s="121" t="s">
        <v>112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87">
        <f>P16+O16+N16+M16+L16+K16+J16+I16+H16+G16+F16+E16+D16+C16</f>
        <v>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8"/>
      <c r="AD16" s="86"/>
      <c r="AE16" s="86"/>
      <c r="AF16" s="86"/>
      <c r="AG16" s="86"/>
      <c r="AH16" s="86"/>
      <c r="AI16" s="86"/>
      <c r="AJ16" s="86"/>
    </row>
    <row r="17" spans="1:36" ht="15.75">
      <c r="A17" s="120">
        <v>8</v>
      </c>
      <c r="B17" s="121" t="s">
        <v>113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87">
        <f t="shared" si="0"/>
        <v>0</v>
      </c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8">
        <v>0</v>
      </c>
      <c r="AD17" s="86"/>
      <c r="AE17" s="86"/>
      <c r="AF17" s="86"/>
      <c r="AG17" s="86"/>
      <c r="AH17" s="86"/>
      <c r="AI17" s="86"/>
      <c r="AJ17" s="86"/>
    </row>
    <row r="18" spans="1:36" ht="15.75">
      <c r="A18" s="120">
        <v>9</v>
      </c>
      <c r="B18" s="121" t="s">
        <v>114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87">
        <f t="shared" si="0"/>
        <v>0</v>
      </c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8">
        <v>0</v>
      </c>
      <c r="AD18" s="86"/>
      <c r="AE18" s="86"/>
      <c r="AF18" s="86"/>
      <c r="AG18" s="86"/>
      <c r="AH18" s="86"/>
      <c r="AI18" s="86"/>
      <c r="AJ18" s="86"/>
    </row>
    <row r="19" spans="1:36" ht="15.75">
      <c r="A19" s="120">
        <v>10</v>
      </c>
      <c r="B19" s="121" t="s">
        <v>115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87">
        <f t="shared" si="0"/>
        <v>0</v>
      </c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8">
        <v>0</v>
      </c>
      <c r="AD19" s="86"/>
      <c r="AE19" s="86"/>
      <c r="AF19" s="86"/>
      <c r="AG19" s="86"/>
      <c r="AH19" s="86"/>
      <c r="AI19" s="86"/>
      <c r="AJ19" s="86"/>
    </row>
    <row r="20" spans="1:36" ht="15.75">
      <c r="A20" s="120">
        <v>11</v>
      </c>
      <c r="B20" s="121" t="s">
        <v>116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87">
        <v>9</v>
      </c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8">
        <v>0</v>
      </c>
      <c r="AD20" s="86"/>
      <c r="AE20" s="86"/>
      <c r="AF20" s="86"/>
      <c r="AG20" s="86"/>
      <c r="AH20" s="86"/>
      <c r="AI20" s="86"/>
      <c r="AJ20" s="86"/>
    </row>
    <row r="21" spans="1:36" ht="15.75">
      <c r="A21" s="120">
        <v>12</v>
      </c>
      <c r="B21" s="121" t="s">
        <v>117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87">
        <f t="shared" si="0"/>
        <v>0</v>
      </c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8">
        <v>0</v>
      </c>
      <c r="AD21" s="86"/>
      <c r="AE21" s="86"/>
      <c r="AF21" s="86"/>
      <c r="AG21" s="86"/>
      <c r="AH21" s="86"/>
      <c r="AI21" s="86"/>
      <c r="AJ21" s="86"/>
    </row>
    <row r="22" spans="1:36" ht="15.75">
      <c r="A22" s="120">
        <v>13</v>
      </c>
      <c r="B22" s="121" t="s">
        <v>118</v>
      </c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87">
        <f t="shared" si="0"/>
        <v>0</v>
      </c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8">
        <v>0</v>
      </c>
      <c r="AD22" s="86"/>
      <c r="AE22" s="86"/>
      <c r="AF22" s="86"/>
      <c r="AG22" s="86"/>
      <c r="AH22" s="86"/>
      <c r="AI22" s="86"/>
      <c r="AJ22" s="86"/>
    </row>
    <row r="23" spans="1:36" ht="16.5">
      <c r="A23" s="154" t="s">
        <v>31</v>
      </c>
      <c r="B23" s="155"/>
      <c r="C23" s="123">
        <f>SUM(C10:C22)</f>
        <v>0</v>
      </c>
      <c r="D23" s="123">
        <f t="shared" ref="D23:M23" si="1">SUM(D10:D22)</f>
        <v>0</v>
      </c>
      <c r="E23" s="123">
        <f t="shared" si="1"/>
        <v>0</v>
      </c>
      <c r="F23" s="123">
        <f t="shared" si="1"/>
        <v>0</v>
      </c>
      <c r="G23" s="123">
        <f t="shared" si="1"/>
        <v>0</v>
      </c>
      <c r="H23" s="123">
        <f t="shared" si="1"/>
        <v>0</v>
      </c>
      <c r="I23" s="123">
        <f t="shared" si="1"/>
        <v>0</v>
      </c>
      <c r="J23" s="123">
        <f t="shared" si="1"/>
        <v>0</v>
      </c>
      <c r="K23" s="123">
        <f t="shared" si="1"/>
        <v>0</v>
      </c>
      <c r="L23" s="123">
        <f t="shared" si="1"/>
        <v>0</v>
      </c>
      <c r="M23" s="123">
        <f t="shared" si="1"/>
        <v>0</v>
      </c>
      <c r="N23" s="123">
        <f>SUM(N10:N22)</f>
        <v>0</v>
      </c>
      <c r="O23" s="123">
        <f t="shared" ref="O23:AJ23" si="2">SUM(O10:O22)</f>
        <v>0</v>
      </c>
      <c r="P23" s="123">
        <f t="shared" si="2"/>
        <v>0</v>
      </c>
      <c r="Q23" s="87">
        <f t="shared" si="0"/>
        <v>0</v>
      </c>
      <c r="R23" s="89">
        <f t="shared" si="2"/>
        <v>0</v>
      </c>
      <c r="S23" s="89">
        <f t="shared" si="2"/>
        <v>0</v>
      </c>
      <c r="T23" s="89">
        <f t="shared" si="2"/>
        <v>0</v>
      </c>
      <c r="U23" s="89">
        <f t="shared" si="2"/>
        <v>0</v>
      </c>
      <c r="V23" s="89">
        <f t="shared" si="2"/>
        <v>0</v>
      </c>
      <c r="W23" s="89">
        <f t="shared" si="2"/>
        <v>0</v>
      </c>
      <c r="X23" s="89">
        <f t="shared" si="2"/>
        <v>0</v>
      </c>
      <c r="Y23" s="89">
        <f t="shared" si="2"/>
        <v>0</v>
      </c>
      <c r="Z23" s="89">
        <f t="shared" si="2"/>
        <v>0</v>
      </c>
      <c r="AA23" s="89">
        <f t="shared" si="2"/>
        <v>0</v>
      </c>
      <c r="AB23" s="89">
        <f t="shared" si="2"/>
        <v>0</v>
      </c>
      <c r="AC23" s="90">
        <v>0</v>
      </c>
      <c r="AD23" s="89">
        <f t="shared" si="2"/>
        <v>0</v>
      </c>
      <c r="AE23" s="89">
        <f t="shared" si="2"/>
        <v>0</v>
      </c>
      <c r="AF23" s="89">
        <f t="shared" si="2"/>
        <v>0</v>
      </c>
      <c r="AG23" s="89">
        <f t="shared" si="2"/>
        <v>0</v>
      </c>
      <c r="AH23" s="89">
        <f t="shared" si="2"/>
        <v>0</v>
      </c>
      <c r="AI23" s="89">
        <f t="shared" si="2"/>
        <v>0</v>
      </c>
      <c r="AJ23" s="89">
        <f t="shared" si="2"/>
        <v>0</v>
      </c>
    </row>
  </sheetData>
  <mergeCells count="27">
    <mergeCell ref="A1:AJ1"/>
    <mergeCell ref="A3:B3"/>
    <mergeCell ref="A4:B4"/>
    <mergeCell ref="A6:A8"/>
    <mergeCell ref="B6:B8"/>
    <mergeCell ref="C6:P6"/>
    <mergeCell ref="Q6:Q8"/>
    <mergeCell ref="R6:U6"/>
    <mergeCell ref="V6:AA6"/>
    <mergeCell ref="AB6:AB8"/>
    <mergeCell ref="AI6:AI8"/>
    <mergeCell ref="AJ6:AJ8"/>
    <mergeCell ref="C7:I7"/>
    <mergeCell ref="J7:P7"/>
    <mergeCell ref="R7:R8"/>
    <mergeCell ref="S7:S8"/>
    <mergeCell ref="AH6:AH8"/>
    <mergeCell ref="A23:B23"/>
    <mergeCell ref="V7:W7"/>
    <mergeCell ref="X7:Y7"/>
    <mergeCell ref="AD7:AD8"/>
    <mergeCell ref="AE7:AE8"/>
    <mergeCell ref="T7:U7"/>
    <mergeCell ref="AF7:AF8"/>
    <mergeCell ref="AG7:AG8"/>
    <mergeCell ref="AC6:AC8"/>
    <mergeCell ref="AD6:A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DC00-2334-194D-91D3-9A7AA9D13055}">
  <dimension ref="A1:AN44"/>
  <sheetViews>
    <sheetView workbookViewId="0">
      <selection activeCell="E17" sqref="E17"/>
    </sheetView>
  </sheetViews>
  <sheetFormatPr defaultColWidth="9" defaultRowHeight="15"/>
  <cols>
    <col min="1" max="1" width="7" style="8" customWidth="1"/>
    <col min="2" max="2" width="16.140625" style="8" customWidth="1"/>
    <col min="3" max="3" width="21.42578125" style="35" customWidth="1"/>
    <col min="4" max="4" width="29.140625" style="8" customWidth="1"/>
    <col min="5" max="5" width="14.140625" style="8" customWidth="1"/>
    <col min="6" max="6" width="10.85546875" style="8" customWidth="1"/>
    <col min="7" max="7" width="12.7109375" style="8" customWidth="1"/>
    <col min="8" max="8" width="8.7109375" style="8" customWidth="1"/>
    <col min="9" max="9" width="10.85546875" style="8" customWidth="1"/>
    <col min="10" max="11" width="21" style="8" customWidth="1"/>
    <col min="12" max="12" width="17.42578125" style="8" customWidth="1"/>
    <col min="13" max="13" width="33.28515625" style="8" customWidth="1"/>
    <col min="14" max="14" width="17" style="8" customWidth="1"/>
    <col min="15" max="15" width="22.85546875" style="8" customWidth="1"/>
    <col min="16" max="16" width="8" style="10" customWidth="1"/>
    <col min="17" max="17" width="10.42578125" style="10" customWidth="1"/>
    <col min="18" max="18" width="9.42578125" style="10" customWidth="1"/>
    <col min="19" max="19" width="8.140625" style="10" customWidth="1"/>
    <col min="20" max="20" width="8" style="10" customWidth="1"/>
    <col min="21" max="23" width="9.140625" style="10" customWidth="1"/>
    <col min="24" max="27" width="10.28515625" style="10" customWidth="1"/>
    <col min="28" max="28" width="13" style="10" customWidth="1"/>
    <col min="29" max="32" width="9" style="10"/>
    <col min="33" max="35" width="8" style="10" customWidth="1"/>
    <col min="36" max="36" width="11.7109375" style="10" customWidth="1"/>
    <col min="37" max="37" width="17.140625" style="8" customWidth="1"/>
    <col min="38" max="38" width="26" style="8" customWidth="1"/>
    <col min="39" max="39" width="51.7109375" style="8" customWidth="1"/>
  </cols>
  <sheetData>
    <row r="1" spans="1:40" ht="20.25">
      <c r="A1" s="160" t="s">
        <v>103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3"/>
    </row>
    <row r="2" spans="1:40" ht="20.25">
      <c r="A2" s="2"/>
      <c r="B2" s="2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3"/>
    </row>
    <row r="3" spans="1:40" ht="20.25">
      <c r="A3" s="2"/>
      <c r="B3" s="5" t="s">
        <v>38</v>
      </c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2"/>
      <c r="AL3" s="2"/>
      <c r="AM3" s="2"/>
      <c r="AN3" s="3"/>
    </row>
    <row r="4" spans="1:40" ht="20.25">
      <c r="A4" s="2"/>
      <c r="B4" s="5" t="s">
        <v>43</v>
      </c>
      <c r="C4" s="7" t="s">
        <v>44</v>
      </c>
      <c r="D4" s="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  <c r="AL4" s="2"/>
      <c r="AM4" s="2"/>
      <c r="AN4" s="3"/>
    </row>
    <row r="5" spans="1:40" ht="15.75" thickBot="1">
      <c r="C5" s="9"/>
      <c r="D5" s="2"/>
      <c r="E5" s="2"/>
      <c r="F5" s="2"/>
    </row>
    <row r="6" spans="1:40" ht="36.950000000000003" customHeight="1" thickBot="1">
      <c r="A6" s="161" t="s">
        <v>3</v>
      </c>
      <c r="B6" s="164" t="s">
        <v>45</v>
      </c>
      <c r="C6" s="165"/>
      <c r="D6" s="165"/>
      <c r="E6" s="165"/>
      <c r="F6" s="165"/>
      <c r="G6" s="165"/>
      <c r="H6" s="165"/>
      <c r="I6" s="166"/>
      <c r="J6" s="167" t="s">
        <v>46</v>
      </c>
      <c r="K6" s="168"/>
      <c r="L6" s="168"/>
      <c r="M6" s="168"/>
      <c r="N6" s="169"/>
      <c r="O6" s="170" t="s">
        <v>47</v>
      </c>
      <c r="P6" s="170"/>
      <c r="Q6" s="170"/>
      <c r="R6" s="170"/>
      <c r="S6" s="171"/>
      <c r="T6" s="172" t="s">
        <v>48</v>
      </c>
      <c r="U6" s="173"/>
      <c r="V6" s="173"/>
      <c r="W6" s="174"/>
      <c r="X6" s="185" t="s">
        <v>49</v>
      </c>
      <c r="Y6" s="170"/>
      <c r="Z6" s="170"/>
      <c r="AA6" s="171"/>
      <c r="AB6" s="201" t="s">
        <v>50</v>
      </c>
      <c r="AC6" s="201" t="s">
        <v>51</v>
      </c>
      <c r="AD6" s="186" t="s">
        <v>52</v>
      </c>
      <c r="AE6" s="187"/>
      <c r="AF6" s="187"/>
      <c r="AG6" s="187"/>
      <c r="AH6" s="187"/>
      <c r="AI6" s="187"/>
      <c r="AJ6" s="188"/>
      <c r="AK6" s="189" t="s">
        <v>53</v>
      </c>
      <c r="AL6" s="189" t="s">
        <v>54</v>
      </c>
      <c r="AM6" s="161" t="s">
        <v>55</v>
      </c>
    </row>
    <row r="7" spans="1:40" s="10" customFormat="1" ht="30" customHeight="1">
      <c r="A7" s="162"/>
      <c r="B7" s="161" t="s">
        <v>56</v>
      </c>
      <c r="C7" s="179" t="s">
        <v>57</v>
      </c>
      <c r="D7" s="181" t="s">
        <v>58</v>
      </c>
      <c r="E7" s="175" t="s">
        <v>59</v>
      </c>
      <c r="F7" s="175" t="s">
        <v>60</v>
      </c>
      <c r="G7" s="181" t="s">
        <v>61</v>
      </c>
      <c r="H7" s="181" t="s">
        <v>62</v>
      </c>
      <c r="I7" s="177" t="s">
        <v>63</v>
      </c>
      <c r="J7" s="183" t="s">
        <v>64</v>
      </c>
      <c r="K7" s="175" t="s">
        <v>65</v>
      </c>
      <c r="L7" s="175" t="s">
        <v>66</v>
      </c>
      <c r="M7" s="175" t="s">
        <v>67</v>
      </c>
      <c r="N7" s="177" t="s">
        <v>68</v>
      </c>
      <c r="O7" s="183" t="s">
        <v>69</v>
      </c>
      <c r="P7" s="204" t="s">
        <v>70</v>
      </c>
      <c r="Q7" s="209" t="s">
        <v>71</v>
      </c>
      <c r="R7" s="209" t="s">
        <v>72</v>
      </c>
      <c r="S7" s="206" t="s">
        <v>73</v>
      </c>
      <c r="T7" s="210" t="s">
        <v>74</v>
      </c>
      <c r="U7" s="204" t="s">
        <v>75</v>
      </c>
      <c r="V7" s="204" t="s">
        <v>76</v>
      </c>
      <c r="W7" s="206" t="s">
        <v>73</v>
      </c>
      <c r="X7" s="207" t="s">
        <v>77</v>
      </c>
      <c r="Y7" s="204" t="s">
        <v>78</v>
      </c>
      <c r="Z7" s="204" t="s">
        <v>79</v>
      </c>
      <c r="AA7" s="192" t="s">
        <v>80</v>
      </c>
      <c r="AB7" s="202"/>
      <c r="AC7" s="202"/>
      <c r="AD7" s="194" t="s">
        <v>81</v>
      </c>
      <c r="AE7" s="195"/>
      <c r="AF7" s="156" t="s">
        <v>82</v>
      </c>
      <c r="AG7" s="158" t="s">
        <v>83</v>
      </c>
      <c r="AH7" s="159"/>
      <c r="AI7" s="159"/>
      <c r="AJ7" s="196" t="s">
        <v>84</v>
      </c>
      <c r="AK7" s="190"/>
      <c r="AL7" s="190"/>
      <c r="AM7" s="162"/>
    </row>
    <row r="8" spans="1:40" s="10" customFormat="1" ht="20.100000000000001" customHeight="1">
      <c r="A8" s="163"/>
      <c r="B8" s="163"/>
      <c r="C8" s="180"/>
      <c r="D8" s="182"/>
      <c r="E8" s="176"/>
      <c r="F8" s="176"/>
      <c r="G8" s="182"/>
      <c r="H8" s="182"/>
      <c r="I8" s="178"/>
      <c r="J8" s="184"/>
      <c r="K8" s="176"/>
      <c r="L8" s="176"/>
      <c r="M8" s="176"/>
      <c r="N8" s="178"/>
      <c r="O8" s="184"/>
      <c r="P8" s="205"/>
      <c r="Q8" s="157"/>
      <c r="R8" s="157"/>
      <c r="S8" s="197"/>
      <c r="T8" s="211"/>
      <c r="U8" s="205"/>
      <c r="V8" s="205"/>
      <c r="W8" s="197"/>
      <c r="X8" s="208"/>
      <c r="Y8" s="205"/>
      <c r="Z8" s="205"/>
      <c r="AA8" s="193"/>
      <c r="AB8" s="203"/>
      <c r="AC8" s="203"/>
      <c r="AD8" s="12" t="s">
        <v>42</v>
      </c>
      <c r="AE8" s="13" t="s">
        <v>85</v>
      </c>
      <c r="AF8" s="157"/>
      <c r="AG8" s="14" t="s">
        <v>16</v>
      </c>
      <c r="AH8" s="11" t="s">
        <v>17</v>
      </c>
      <c r="AI8" s="11" t="s">
        <v>18</v>
      </c>
      <c r="AJ8" s="197"/>
      <c r="AK8" s="191"/>
      <c r="AL8" s="191"/>
      <c r="AM8" s="163"/>
    </row>
    <row r="9" spans="1:40">
      <c r="A9" s="15">
        <v>1</v>
      </c>
      <c r="B9" s="15">
        <v>2</v>
      </c>
      <c r="C9" s="16">
        <v>3</v>
      </c>
      <c r="D9" s="17">
        <v>4</v>
      </c>
      <c r="E9" s="17">
        <v>5</v>
      </c>
      <c r="F9" s="17">
        <v>6</v>
      </c>
      <c r="G9" s="17">
        <v>7</v>
      </c>
      <c r="H9" s="17">
        <v>8</v>
      </c>
      <c r="I9" s="17">
        <v>9</v>
      </c>
      <c r="J9" s="17">
        <v>10</v>
      </c>
      <c r="K9" s="17">
        <v>11</v>
      </c>
      <c r="L9" s="17">
        <v>12</v>
      </c>
      <c r="M9" s="17">
        <v>13</v>
      </c>
      <c r="N9" s="17">
        <v>14</v>
      </c>
      <c r="O9" s="17">
        <v>15</v>
      </c>
      <c r="P9" s="17">
        <v>16</v>
      </c>
      <c r="Q9" s="17">
        <v>17</v>
      </c>
      <c r="R9" s="17">
        <v>18</v>
      </c>
      <c r="S9" s="17">
        <v>19</v>
      </c>
      <c r="T9" s="17">
        <v>20</v>
      </c>
      <c r="U9" s="17">
        <v>21</v>
      </c>
      <c r="V9" s="17">
        <v>22</v>
      </c>
      <c r="W9" s="17">
        <v>23</v>
      </c>
      <c r="X9" s="17">
        <v>24</v>
      </c>
      <c r="Y9" s="17">
        <v>25</v>
      </c>
      <c r="Z9" s="17">
        <v>26</v>
      </c>
      <c r="AA9" s="17">
        <v>27</v>
      </c>
      <c r="AB9" s="17">
        <v>28</v>
      </c>
      <c r="AC9" s="17">
        <v>29</v>
      </c>
      <c r="AD9" s="17">
        <v>30</v>
      </c>
      <c r="AE9" s="17">
        <v>31</v>
      </c>
      <c r="AF9" s="17">
        <v>32</v>
      </c>
      <c r="AG9" s="17">
        <v>33</v>
      </c>
      <c r="AH9" s="17">
        <v>34</v>
      </c>
      <c r="AI9" s="17">
        <v>35</v>
      </c>
      <c r="AJ9" s="17">
        <v>36</v>
      </c>
      <c r="AK9" s="17">
        <v>37</v>
      </c>
      <c r="AL9" s="17">
        <v>38</v>
      </c>
      <c r="AM9" s="17">
        <v>39</v>
      </c>
    </row>
    <row r="10" spans="1:40" ht="24.95" customHeight="1">
      <c r="A10" s="198" t="s">
        <v>86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200"/>
    </row>
    <row r="11" spans="1:40" ht="38.1" customHeight="1">
      <c r="A11" s="42"/>
      <c r="B11" s="43"/>
      <c r="C11" s="44"/>
      <c r="D11" s="45"/>
      <c r="E11" s="46"/>
      <c r="F11" s="46"/>
      <c r="G11" s="45"/>
      <c r="H11" s="46"/>
      <c r="I11" s="46"/>
      <c r="J11" s="47"/>
      <c r="K11" s="48"/>
      <c r="L11" s="47"/>
      <c r="M11" s="45"/>
      <c r="N11" s="45"/>
      <c r="O11" s="46"/>
      <c r="P11" s="49"/>
      <c r="Q11" s="50"/>
      <c r="R11" s="49"/>
      <c r="S11" s="49"/>
      <c r="T11" s="51"/>
      <c r="U11" s="49"/>
      <c r="V11" s="49"/>
      <c r="W11" s="49"/>
      <c r="X11" s="49"/>
      <c r="Y11" s="51"/>
      <c r="Z11" s="52"/>
      <c r="AA11" s="49"/>
      <c r="AB11" s="53"/>
      <c r="AC11" s="49"/>
      <c r="AD11" s="49"/>
      <c r="AE11" s="53"/>
      <c r="AF11" s="53"/>
      <c r="AG11" s="53"/>
      <c r="AH11" s="53"/>
      <c r="AI11" s="53"/>
      <c r="AJ11" s="53"/>
      <c r="AK11" s="47"/>
      <c r="AL11" s="46"/>
      <c r="AM11" s="54"/>
    </row>
    <row r="12" spans="1:40" ht="38.1" customHeight="1">
      <c r="A12" s="42"/>
      <c r="B12" s="43"/>
      <c r="C12" s="44"/>
      <c r="D12" s="45"/>
      <c r="E12" s="46"/>
      <c r="F12" s="46"/>
      <c r="G12" s="45"/>
      <c r="H12" s="46"/>
      <c r="I12" s="46"/>
      <c r="J12" s="47"/>
      <c r="K12" s="48"/>
      <c r="L12" s="47"/>
      <c r="M12" s="45"/>
      <c r="N12" s="45"/>
      <c r="O12" s="46"/>
      <c r="P12" s="49"/>
      <c r="Q12" s="55"/>
      <c r="R12" s="56"/>
      <c r="S12" s="56"/>
      <c r="T12" s="51"/>
      <c r="U12" s="56"/>
      <c r="V12" s="56"/>
      <c r="W12" s="56"/>
      <c r="X12" s="56"/>
      <c r="Y12" s="56"/>
      <c r="Z12" s="57"/>
      <c r="AA12" s="49"/>
      <c r="AB12" s="53"/>
      <c r="AC12" s="49"/>
      <c r="AD12" s="49"/>
      <c r="AE12" s="53"/>
      <c r="AF12" s="53"/>
      <c r="AG12" s="53"/>
      <c r="AH12" s="53"/>
      <c r="AI12" s="53"/>
      <c r="AJ12" s="53"/>
      <c r="AK12" s="47"/>
      <c r="AL12" s="46"/>
      <c r="AM12" s="54"/>
    </row>
    <row r="13" spans="1:40" ht="38.1" customHeight="1">
      <c r="A13" s="42"/>
      <c r="B13" s="43"/>
      <c r="C13" s="44"/>
      <c r="D13" s="45"/>
      <c r="E13" s="46"/>
      <c r="F13" s="46"/>
      <c r="G13" s="46"/>
      <c r="H13" s="46"/>
      <c r="I13" s="46"/>
      <c r="J13" s="47"/>
      <c r="K13" s="48"/>
      <c r="L13" s="47"/>
      <c r="M13" s="45"/>
      <c r="N13" s="46"/>
      <c r="O13" s="45"/>
      <c r="P13" s="55"/>
      <c r="Q13" s="56"/>
      <c r="R13" s="56"/>
      <c r="S13" s="56"/>
      <c r="T13" s="51"/>
      <c r="U13" s="56"/>
      <c r="V13" s="56"/>
      <c r="W13" s="56"/>
      <c r="X13" s="57"/>
      <c r="Y13" s="49"/>
      <c r="Z13" s="49"/>
      <c r="AA13" s="49"/>
      <c r="AB13" s="53"/>
      <c r="AC13" s="49"/>
      <c r="AD13" s="49"/>
      <c r="AE13" s="53"/>
      <c r="AF13" s="53"/>
      <c r="AG13" s="53"/>
      <c r="AH13" s="53"/>
      <c r="AI13" s="53"/>
      <c r="AJ13" s="53"/>
      <c r="AK13" s="47"/>
      <c r="AL13" s="46"/>
      <c r="AM13" s="54"/>
    </row>
    <row r="14" spans="1:40" ht="38.1" customHeight="1">
      <c r="A14" s="42"/>
      <c r="B14" s="43"/>
      <c r="C14" s="44"/>
      <c r="D14" s="45"/>
      <c r="E14" s="46"/>
      <c r="F14" s="46"/>
      <c r="G14" s="46"/>
      <c r="H14" s="46"/>
      <c r="I14" s="46"/>
      <c r="J14" s="47"/>
      <c r="K14" s="48"/>
      <c r="L14" s="47"/>
      <c r="M14" s="45"/>
      <c r="N14" s="46"/>
      <c r="O14" s="45"/>
      <c r="P14" s="55"/>
      <c r="Q14" s="56"/>
      <c r="R14" s="56"/>
      <c r="S14" s="56"/>
      <c r="T14" s="51"/>
      <c r="U14" s="56"/>
      <c r="V14" s="56"/>
      <c r="W14" s="56"/>
      <c r="X14" s="57"/>
      <c r="Y14" s="57"/>
      <c r="Z14" s="49"/>
      <c r="AA14" s="49"/>
      <c r="AB14" s="53"/>
      <c r="AC14" s="49"/>
      <c r="AD14" s="49"/>
      <c r="AE14" s="53"/>
      <c r="AF14" s="53"/>
      <c r="AG14" s="53"/>
      <c r="AH14" s="53"/>
      <c r="AI14" s="53"/>
      <c r="AJ14" s="53"/>
      <c r="AK14" s="47"/>
      <c r="AL14" s="45"/>
      <c r="AM14" s="54"/>
    </row>
    <row r="15" spans="1:40" ht="38.1" customHeight="1">
      <c r="A15" s="42"/>
      <c r="B15" s="43"/>
      <c r="C15" s="44"/>
      <c r="D15" s="45"/>
      <c r="E15" s="45"/>
      <c r="F15" s="46"/>
      <c r="G15" s="46"/>
      <c r="H15" s="46"/>
      <c r="I15" s="46"/>
      <c r="J15" s="47"/>
      <c r="K15" s="48"/>
      <c r="L15" s="47"/>
      <c r="M15" s="45"/>
      <c r="N15" s="45"/>
      <c r="O15" s="46"/>
      <c r="P15" s="49"/>
      <c r="Q15" s="51"/>
      <c r="R15" s="49"/>
      <c r="S15" s="49"/>
      <c r="T15" s="51"/>
      <c r="U15" s="49"/>
      <c r="V15" s="49"/>
      <c r="W15" s="49"/>
      <c r="X15" s="57"/>
      <c r="Y15" s="49"/>
      <c r="Z15" s="49"/>
      <c r="AA15" s="49"/>
      <c r="AB15" s="53"/>
      <c r="AC15" s="49"/>
      <c r="AD15" s="49"/>
      <c r="AE15" s="53"/>
      <c r="AF15" s="53"/>
      <c r="AG15" s="53"/>
      <c r="AH15" s="53"/>
      <c r="AI15" s="53"/>
      <c r="AJ15" s="53"/>
      <c r="AK15" s="47"/>
      <c r="AL15" s="45"/>
      <c r="AM15" s="54"/>
    </row>
    <row r="16" spans="1:40" ht="38.1" customHeight="1">
      <c r="A16" s="42"/>
      <c r="B16" s="43"/>
      <c r="C16" s="44"/>
      <c r="D16" s="45"/>
      <c r="E16" s="46"/>
      <c r="F16" s="46"/>
      <c r="G16" s="46"/>
      <c r="H16" s="46"/>
      <c r="I16" s="46"/>
      <c r="J16" s="47"/>
      <c r="K16" s="48"/>
      <c r="L16" s="46"/>
      <c r="M16" s="45"/>
      <c r="N16" s="46"/>
      <c r="O16" s="46"/>
      <c r="P16" s="49"/>
      <c r="Q16" s="49"/>
      <c r="R16" s="57"/>
      <c r="S16" s="49"/>
      <c r="T16" s="57"/>
      <c r="U16" s="49"/>
      <c r="V16" s="49"/>
      <c r="W16" s="49"/>
      <c r="X16" s="57"/>
      <c r="Y16" s="49"/>
      <c r="Z16" s="49"/>
      <c r="AA16" s="49"/>
      <c r="AB16" s="53"/>
      <c r="AC16" s="49"/>
      <c r="AD16" s="49"/>
      <c r="AE16" s="53"/>
      <c r="AF16" s="53"/>
      <c r="AG16" s="53"/>
      <c r="AH16" s="53"/>
      <c r="AI16" s="53"/>
      <c r="AJ16" s="53"/>
      <c r="AK16" s="47"/>
      <c r="AL16" s="46"/>
      <c r="AM16" s="58"/>
    </row>
    <row r="17" spans="1:39" ht="38.1" customHeight="1">
      <c r="A17" s="42"/>
      <c r="B17" s="59"/>
      <c r="C17" s="44"/>
      <c r="D17" s="45"/>
      <c r="E17" s="46"/>
      <c r="F17" s="46"/>
      <c r="G17" s="46"/>
      <c r="H17" s="46"/>
      <c r="I17" s="46"/>
      <c r="J17" s="47"/>
      <c r="K17" s="48"/>
      <c r="L17" s="46"/>
      <c r="M17" s="45"/>
      <c r="N17" s="46"/>
      <c r="O17" s="46"/>
      <c r="P17" s="57"/>
      <c r="Q17" s="57"/>
      <c r="R17" s="60"/>
      <c r="S17" s="49"/>
      <c r="T17" s="57"/>
      <c r="U17" s="49"/>
      <c r="V17" s="49"/>
      <c r="W17" s="49"/>
      <c r="X17" s="57"/>
      <c r="Y17" s="49"/>
      <c r="Z17" s="49"/>
      <c r="AA17" s="49"/>
      <c r="AB17" s="53"/>
      <c r="AC17" s="49"/>
      <c r="AD17" s="49"/>
      <c r="AE17" s="53"/>
      <c r="AF17" s="53"/>
      <c r="AG17" s="53"/>
      <c r="AH17" s="53"/>
      <c r="AI17" s="53"/>
      <c r="AJ17" s="53"/>
      <c r="AK17" s="47"/>
      <c r="AL17" s="45"/>
      <c r="AM17" s="58"/>
    </row>
    <row r="18" spans="1:39" ht="38.1" customHeight="1">
      <c r="A18" s="42"/>
      <c r="B18" s="59"/>
      <c r="C18" s="44"/>
      <c r="D18" s="45"/>
      <c r="E18" s="46"/>
      <c r="F18" s="46"/>
      <c r="G18" s="46"/>
      <c r="H18" s="46"/>
      <c r="I18" s="46"/>
      <c r="J18" s="47"/>
      <c r="K18" s="48"/>
      <c r="L18" s="46"/>
      <c r="M18" s="45"/>
      <c r="N18" s="46"/>
      <c r="O18" s="46"/>
      <c r="P18" s="49"/>
      <c r="Q18" s="49"/>
      <c r="R18" s="60"/>
      <c r="S18" s="49"/>
      <c r="T18" s="57"/>
      <c r="U18" s="49"/>
      <c r="V18" s="49"/>
      <c r="W18" s="49"/>
      <c r="X18" s="57"/>
      <c r="Y18" s="49"/>
      <c r="Z18" s="49"/>
      <c r="AA18" s="49"/>
      <c r="AB18" s="53"/>
      <c r="AC18" s="49"/>
      <c r="AD18" s="49"/>
      <c r="AE18" s="53"/>
      <c r="AF18" s="53"/>
      <c r="AG18" s="53"/>
      <c r="AH18" s="53"/>
      <c r="AI18" s="53"/>
      <c r="AJ18" s="53"/>
      <c r="AK18" s="47"/>
      <c r="AL18" s="46"/>
      <c r="AM18" s="58"/>
    </row>
    <row r="19" spans="1:39" ht="38.1" customHeight="1" thickBot="1">
      <c r="A19" s="61"/>
      <c r="B19" s="62"/>
      <c r="C19" s="63"/>
      <c r="D19" s="64"/>
      <c r="E19" s="64"/>
      <c r="F19" s="65"/>
      <c r="G19" s="65"/>
      <c r="H19" s="65"/>
      <c r="I19" s="65"/>
      <c r="J19" s="66"/>
      <c r="K19" s="67"/>
      <c r="L19" s="65"/>
      <c r="M19" s="64"/>
      <c r="N19" s="65"/>
      <c r="O19" s="65"/>
      <c r="P19" s="68"/>
      <c r="Q19" s="68"/>
      <c r="R19" s="68"/>
      <c r="S19" s="69"/>
      <c r="T19" s="70"/>
      <c r="U19" s="68"/>
      <c r="V19" s="68"/>
      <c r="W19" s="68"/>
      <c r="X19" s="70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6"/>
      <c r="AL19" s="64"/>
      <c r="AM19" s="71"/>
    </row>
    <row r="20" spans="1:39" ht="35.1" customHeight="1" thickBot="1">
      <c r="A20" s="26"/>
      <c r="B20" s="27"/>
      <c r="C20" s="28"/>
      <c r="D20" s="29"/>
      <c r="E20" s="30"/>
      <c r="F20" s="30"/>
      <c r="G20" s="30"/>
      <c r="H20" s="30"/>
      <c r="I20" s="30"/>
      <c r="J20" s="31"/>
      <c r="K20" s="32"/>
      <c r="L20" s="30"/>
      <c r="M20" s="29"/>
      <c r="N20" s="30"/>
      <c r="O20" s="30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1"/>
      <c r="AL20" s="30"/>
      <c r="AM20" s="34"/>
    </row>
    <row r="21" spans="1:39">
      <c r="D21" s="36">
        <v>8</v>
      </c>
      <c r="E21" s="36" t="s">
        <v>96</v>
      </c>
      <c r="F21" s="36"/>
      <c r="G21" s="36"/>
      <c r="L21" s="36" t="s">
        <v>97</v>
      </c>
      <c r="M21" s="36"/>
      <c r="N21" s="36"/>
    </row>
    <row r="22" spans="1:39">
      <c r="D22" s="36">
        <v>9</v>
      </c>
      <c r="E22" s="36" t="s">
        <v>98</v>
      </c>
      <c r="F22" s="36"/>
      <c r="G22" s="36"/>
    </row>
    <row r="23" spans="1:39">
      <c r="D23" s="36"/>
      <c r="E23" s="36" t="s">
        <v>99</v>
      </c>
      <c r="F23" s="36"/>
      <c r="G23" s="36"/>
    </row>
    <row r="24" spans="1:39">
      <c r="C24" s="37"/>
      <c r="D24" s="38"/>
      <c r="E24" s="38"/>
      <c r="F24" s="36"/>
      <c r="G24" s="36"/>
    </row>
    <row r="25" spans="1:39">
      <c r="C25" s="37"/>
      <c r="D25" s="38"/>
      <c r="E25" s="38"/>
    </row>
    <row r="26" spans="1:39">
      <c r="C26" s="37"/>
      <c r="D26" s="38"/>
      <c r="E26" s="38"/>
    </row>
    <row r="27" spans="1:39" ht="18.95" customHeight="1">
      <c r="C27" s="38" t="s">
        <v>100</v>
      </c>
      <c r="D27" s="38" t="s">
        <v>101</v>
      </c>
      <c r="E27" s="38" t="s">
        <v>102</v>
      </c>
    </row>
    <row r="28" spans="1:39" ht="18.95" customHeight="1">
      <c r="B28" s="18" t="s">
        <v>87</v>
      </c>
      <c r="C28" s="38">
        <v>4</v>
      </c>
      <c r="D28" s="38">
        <v>6</v>
      </c>
      <c r="E28" s="38">
        <f>C28-D28</f>
        <v>-2</v>
      </c>
    </row>
    <row r="29" spans="1:39" ht="18.95" customHeight="1">
      <c r="B29" s="19" t="s">
        <v>88</v>
      </c>
      <c r="C29" s="38">
        <v>6</v>
      </c>
      <c r="D29" s="38">
        <v>6</v>
      </c>
      <c r="E29" s="38">
        <f t="shared" ref="E29:E36" si="0">C29-D29</f>
        <v>0</v>
      </c>
    </row>
    <row r="30" spans="1:39" ht="18.95" customHeight="1">
      <c r="B30" s="20" t="s">
        <v>89</v>
      </c>
      <c r="C30" s="38">
        <v>4</v>
      </c>
      <c r="D30" s="38">
        <v>4</v>
      </c>
      <c r="E30" s="38">
        <f t="shared" si="0"/>
        <v>0</v>
      </c>
    </row>
    <row r="31" spans="1:39" ht="18.95" customHeight="1">
      <c r="B31" s="21" t="s">
        <v>90</v>
      </c>
      <c r="C31" s="38">
        <v>4</v>
      </c>
      <c r="D31" s="38">
        <v>6</v>
      </c>
      <c r="E31" s="38">
        <f t="shared" si="0"/>
        <v>-2</v>
      </c>
    </row>
    <row r="32" spans="1:39" ht="18.95" customHeight="1">
      <c r="B32" s="22" t="s">
        <v>91</v>
      </c>
      <c r="C32" s="38">
        <v>3</v>
      </c>
      <c r="D32" s="38">
        <v>3</v>
      </c>
      <c r="E32" s="38">
        <f t="shared" si="0"/>
        <v>0</v>
      </c>
    </row>
    <row r="33" spans="2:5" ht="18.95" customHeight="1">
      <c r="B33" s="24" t="s">
        <v>94</v>
      </c>
      <c r="C33" s="38">
        <v>1</v>
      </c>
      <c r="D33" s="38">
        <v>1</v>
      </c>
      <c r="E33" s="38">
        <f t="shared" si="0"/>
        <v>0</v>
      </c>
    </row>
    <row r="34" spans="2:5" ht="18.95" customHeight="1">
      <c r="B34" s="25" t="s">
        <v>95</v>
      </c>
      <c r="C34" s="38">
        <v>1</v>
      </c>
      <c r="D34" s="38">
        <v>1</v>
      </c>
      <c r="E34" s="38">
        <f t="shared" si="0"/>
        <v>0</v>
      </c>
    </row>
    <row r="35" spans="2:5" ht="18.95" customHeight="1">
      <c r="B35" s="23" t="s">
        <v>93</v>
      </c>
      <c r="C35" s="39">
        <v>2</v>
      </c>
      <c r="D35" s="39">
        <v>2</v>
      </c>
      <c r="E35" s="38">
        <f t="shared" si="0"/>
        <v>0</v>
      </c>
    </row>
    <row r="36" spans="2:5" ht="18.95" customHeight="1">
      <c r="B36" s="40" t="s">
        <v>92</v>
      </c>
      <c r="C36" s="38">
        <v>4</v>
      </c>
      <c r="D36" s="38">
        <v>4</v>
      </c>
      <c r="E36" s="38">
        <f t="shared" si="0"/>
        <v>0</v>
      </c>
    </row>
    <row r="37" spans="2:5" ht="18.95" customHeight="1">
      <c r="B37" s="41" t="s">
        <v>39</v>
      </c>
      <c r="C37" s="39">
        <v>1</v>
      </c>
      <c r="D37" s="39">
        <v>1</v>
      </c>
      <c r="E37" s="38">
        <f>C37-D37</f>
        <v>0</v>
      </c>
    </row>
    <row r="38" spans="2:5">
      <c r="C38" s="39">
        <f>SUM(C28:C37)</f>
        <v>30</v>
      </c>
      <c r="D38" s="39">
        <f t="shared" ref="D38:E38" si="1">SUM(D28:D37)</f>
        <v>34</v>
      </c>
      <c r="E38" s="39">
        <f t="shared" si="1"/>
        <v>-4</v>
      </c>
    </row>
    <row r="39" spans="2:5">
      <c r="C39" s="37"/>
      <c r="D39" s="38"/>
      <c r="E39" s="38"/>
    </row>
    <row r="40" spans="2:5">
      <c r="C40" s="37"/>
      <c r="D40" s="38"/>
      <c r="E40" s="38"/>
    </row>
    <row r="41" spans="2:5">
      <c r="C41" s="37"/>
      <c r="D41" s="38"/>
      <c r="E41" s="38"/>
    </row>
    <row r="42" spans="2:5">
      <c r="C42" s="37"/>
      <c r="D42" s="38"/>
      <c r="E42" s="38"/>
    </row>
    <row r="43" spans="2:5">
      <c r="C43" s="37"/>
      <c r="D43" s="38"/>
      <c r="E43" s="38"/>
    </row>
    <row r="44" spans="2:5">
      <c r="C44" s="37"/>
      <c r="D44" s="38"/>
      <c r="E44" s="38"/>
    </row>
  </sheetData>
  <mergeCells count="44">
    <mergeCell ref="AJ7:AJ8"/>
    <mergeCell ref="A10:AM10"/>
    <mergeCell ref="AB6:AB8"/>
    <mergeCell ref="AC6:AC8"/>
    <mergeCell ref="U7:U8"/>
    <mergeCell ref="V7:V8"/>
    <mergeCell ref="W7:W8"/>
    <mergeCell ref="X7:X8"/>
    <mergeCell ref="Y7:Y8"/>
    <mergeCell ref="Z7:Z8"/>
    <mergeCell ref="O7:O8"/>
    <mergeCell ref="P7:P8"/>
    <mergeCell ref="Q7:Q8"/>
    <mergeCell ref="R7:R8"/>
    <mergeCell ref="S7:S8"/>
    <mergeCell ref="T7:T8"/>
    <mergeCell ref="AM6:AM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X6:AA6"/>
    <mergeCell ref="AD6:AJ6"/>
    <mergeCell ref="AK6:AK8"/>
    <mergeCell ref="AL6:AL8"/>
    <mergeCell ref="AA7:AA8"/>
    <mergeCell ref="AD7:AE7"/>
    <mergeCell ref="AF7:AF8"/>
    <mergeCell ref="AG7:AI7"/>
    <mergeCell ref="A1:W1"/>
    <mergeCell ref="A6:A8"/>
    <mergeCell ref="B6:I6"/>
    <mergeCell ref="J6:N6"/>
    <mergeCell ref="O6:S6"/>
    <mergeCell ref="T6:W6"/>
    <mergeCell ref="K7:K8"/>
    <mergeCell ref="L7:L8"/>
    <mergeCell ref="M7:M8"/>
    <mergeCell ref="N7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LAPORAN KASUS</vt:lpstr>
      <vt:lpstr>maret</vt:lpstr>
      <vt:lpstr>april</vt:lpstr>
      <vt:lpstr>mei</vt:lpstr>
      <vt:lpstr>juni</vt:lpstr>
      <vt:lpstr>juli</vt:lpstr>
      <vt:lpstr>agustus</vt:lpstr>
      <vt:lpstr>Sept</vt:lpstr>
      <vt:lpstr>oktober</vt:lpstr>
      <vt:lpstr>Nopember</vt:lpstr>
      <vt:lpstr>Desermber</vt:lpstr>
      <vt:lpstr>LAPORAN RABIES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bayu parmika</cp:lastModifiedBy>
  <cp:lastPrinted>2025-08-22T04:00:54Z</cp:lastPrinted>
  <dcterms:created xsi:type="dcterms:W3CDTF">2020-01-15T01:00:00Z</dcterms:created>
  <dcterms:modified xsi:type="dcterms:W3CDTF">2025-12-29T03:58:55Z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2057-11.2.0.9684</vt:lpwstr>
  </property>
</Properties>
</file>